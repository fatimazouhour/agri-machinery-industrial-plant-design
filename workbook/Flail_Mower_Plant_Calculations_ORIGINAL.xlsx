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Fatima\Desktop\PROJECTS\IPS\"/>
    </mc:Choice>
  </mc:AlternateContent>
  <xr:revisionPtr revIDLastSave="0" documentId="8_{5171B39E-E3D5-4642-B9DF-FA140728D576}" xr6:coauthVersionLast="47" xr6:coauthVersionMax="47" xr10:uidLastSave="{00000000-0000-0000-0000-000000000000}"/>
  <bookViews>
    <workbookView xWindow="-98" yWindow="-98" windowWidth="21795" windowHeight="12975" tabRatio="601" firstSheet="10" activeTab="13" xr2:uid="{00000000-000D-0000-FFFF-FFFF00000000}"/>
  </bookViews>
  <sheets>
    <sheet name="$_DATA" sheetId="3" r:id="rId1"/>
    <sheet name="$_BOM_CYCLE" sheetId="1" r:id="rId2"/>
    <sheet name="$_MANUF_PARTS_BATCH" sheetId="4" r:id="rId3"/>
    <sheet name="$_MOV_MATERIALS" sheetId="8" r:id="rId4"/>
    <sheet name="$_WARE_BUFFER" sheetId="6" r:id="rId5"/>
    <sheet name="ABC ANALYSIS" sheetId="10" r:id="rId6"/>
    <sheet name="WARE_BUFFER_EPEI" sheetId="15" r:id="rId7"/>
    <sheet name="Recieving" sheetId="13" r:id="rId8"/>
    <sheet name="Shipping" sheetId="17" r:id="rId9"/>
    <sheet name="OP_ASSEMBLING" sheetId="5" r:id="rId10"/>
    <sheet name="AREA CALCULATION" sheetId="9" r:id="rId11"/>
    <sheet name="FORKLIFT" sheetId="14" r:id="rId12"/>
    <sheet name="WORKERS_SAFETY" sheetId="19" r:id="rId13"/>
    <sheet name="SERVICE AREA &amp; # OF EMPLOYEES" sheetId="11" r:id="rId14"/>
  </sheets>
  <externalReferences>
    <externalReference r:id="rId15"/>
  </externalReferences>
  <definedNames>
    <definedName name="_xlnm._FilterDatabase" localSheetId="1" hidden="1">'$_BOM_CYCLE'!$A$1:$L$46</definedName>
    <definedName name="_xlnm._FilterDatabase" localSheetId="0" hidden="1">'$_DATA'!$B$1:$AA$65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6" i="6" l="1"/>
  <c r="U7" i="6"/>
  <c r="J6" i="6"/>
  <c r="K3" i="11"/>
  <c r="J11" i="11"/>
  <c r="B21" i="11"/>
  <c r="B26" i="11"/>
  <c r="B27" i="11"/>
  <c r="B24" i="11"/>
  <c r="B23" i="11"/>
  <c r="O40" i="19"/>
  <c r="G46" i="19" s="1"/>
  <c r="O39" i="19"/>
  <c r="G44" i="19" s="1"/>
  <c r="O38" i="19"/>
  <c r="G45" i="19" s="1"/>
  <c r="B40" i="19"/>
  <c r="C46" i="19" s="1"/>
  <c r="B39" i="19"/>
  <c r="C44" i="19" s="1"/>
  <c r="B38" i="19"/>
  <c r="C45" i="19" s="1"/>
  <c r="F33" i="19"/>
  <c r="F34" i="19"/>
  <c r="G33" i="19"/>
  <c r="G34" i="19"/>
  <c r="F32" i="19"/>
  <c r="G32" i="19"/>
  <c r="B6" i="19"/>
  <c r="B7" i="19"/>
  <c r="H11" i="19"/>
  <c r="H12" i="19"/>
  <c r="H13" i="19"/>
  <c r="C17" i="19"/>
  <c r="C32" i="19" s="1"/>
  <c r="D17" i="19"/>
  <c r="D32" i="19" s="1"/>
  <c r="E17" i="19"/>
  <c r="E32" i="19" s="1"/>
  <c r="I17" i="19"/>
  <c r="C18" i="19"/>
  <c r="C33" i="19" s="1"/>
  <c r="D18" i="19"/>
  <c r="D33" i="19" s="1"/>
  <c r="E18" i="19"/>
  <c r="E33" i="19" s="1"/>
  <c r="I18" i="19"/>
  <c r="C19" i="19"/>
  <c r="C34" i="19" s="1"/>
  <c r="D19" i="19"/>
  <c r="D34" i="19" s="1"/>
  <c r="E19" i="19"/>
  <c r="E34" i="19" s="1"/>
  <c r="I19" i="19"/>
  <c r="C24" i="19"/>
  <c r="D24" i="19"/>
  <c r="J39" i="19" s="1"/>
  <c r="E45" i="19" s="1"/>
  <c r="C25" i="19"/>
  <c r="D25" i="19"/>
  <c r="J38" i="19" s="1"/>
  <c r="E44" i="19" s="1"/>
  <c r="C26" i="19"/>
  <c r="D26" i="19"/>
  <c r="J40" i="19" s="1"/>
  <c r="E46" i="19" s="1"/>
  <c r="M12" i="19"/>
  <c r="I34" i="19" s="1"/>
  <c r="C40" i="19" s="1"/>
  <c r="M11" i="19"/>
  <c r="I33" i="19" s="1"/>
  <c r="C39" i="19" s="1"/>
  <c r="M10" i="19"/>
  <c r="I32" i="19" s="1"/>
  <c r="C38" i="19" s="1"/>
  <c r="K2" i="11"/>
  <c r="J7" i="11"/>
  <c r="I39" i="19" l="1"/>
  <c r="D45" i="19"/>
  <c r="I38" i="19"/>
  <c r="D44" i="19"/>
  <c r="I40" i="19"/>
  <c r="D46" i="19"/>
  <c r="H39" i="19"/>
  <c r="D38" i="19"/>
  <c r="K39" i="19" s="1"/>
  <c r="F45" i="19" s="1"/>
  <c r="H38" i="19"/>
  <c r="D39" i="19"/>
  <c r="K38" i="19" s="1"/>
  <c r="F44" i="19" s="1"/>
  <c r="H40" i="19"/>
  <c r="D40" i="19"/>
  <c r="K40" i="19" s="1"/>
  <c r="F46" i="19" s="1"/>
  <c r="H46" i="19" s="1"/>
  <c r="D12" i="11"/>
  <c r="B12" i="11"/>
  <c r="K7" i="11"/>
  <c r="C52" i="14"/>
  <c r="G48" i="14"/>
  <c r="B52" i="14" s="1"/>
  <c r="C53" i="14" s="1"/>
  <c r="E44" i="14"/>
  <c r="G44" i="14"/>
  <c r="G43" i="14"/>
  <c r="G45" i="14"/>
  <c r="E45" i="14"/>
  <c r="E43" i="14"/>
  <c r="E42" i="14"/>
  <c r="D8" i="11" l="1"/>
  <c r="H45" i="19"/>
  <c r="I44" i="19" s="1"/>
  <c r="C45" i="14"/>
  <c r="C44" i="14"/>
  <c r="C43" i="14"/>
  <c r="F3" i="11"/>
  <c r="E3" i="11"/>
  <c r="F21" i="17"/>
  <c r="G25" i="17"/>
  <c r="C18" i="14"/>
  <c r="F2" i="14"/>
  <c r="H2" i="14" s="1"/>
  <c r="R10" i="14"/>
  <c r="F3" i="14"/>
  <c r="F4" i="14"/>
  <c r="F5" i="14"/>
  <c r="F9" i="14"/>
  <c r="H9" i="14" s="1"/>
  <c r="H3" i="14"/>
  <c r="J3" i="14" s="1"/>
  <c r="J25" i="9"/>
  <c r="J31" i="9"/>
  <c r="R14" i="14"/>
  <c r="E22" i="14"/>
  <c r="E34" i="14"/>
  <c r="E32" i="14"/>
  <c r="E28" i="14"/>
  <c r="E30" i="14"/>
  <c r="E24" i="14"/>
  <c r="E26" i="14"/>
  <c r="E20" i="14"/>
  <c r="E18" i="14"/>
  <c r="R17" i="14"/>
  <c r="H5" i="14"/>
  <c r="J5" i="14" s="1"/>
  <c r="C18" i="17"/>
  <c r="C8" i="17"/>
  <c r="C19" i="17"/>
  <c r="C20" i="17"/>
  <c r="C28" i="13"/>
  <c r="C25" i="13"/>
  <c r="C20" i="13"/>
  <c r="AB8" i="13"/>
  <c r="AC10" i="13"/>
  <c r="AC8" i="13"/>
  <c r="AC7" i="13"/>
  <c r="AC6" i="13"/>
  <c r="AB6" i="13"/>
  <c r="AC5" i="13"/>
  <c r="AB5" i="13"/>
  <c r="AC3" i="13"/>
  <c r="L27" i="13"/>
  <c r="M35" i="13"/>
  <c r="N35" i="13"/>
  <c r="Q35" i="13"/>
  <c r="R35" i="13"/>
  <c r="S35" i="13"/>
  <c r="T35" i="13"/>
  <c r="Q19" i="13"/>
  <c r="R19" i="13"/>
  <c r="S19" i="13"/>
  <c r="T19" i="13"/>
  <c r="M27" i="13"/>
  <c r="N27" i="13"/>
  <c r="O27" i="13"/>
  <c r="P27" i="13"/>
  <c r="Q27" i="13"/>
  <c r="R27" i="13"/>
  <c r="S27" i="13"/>
  <c r="T27" i="13"/>
  <c r="T32" i="13"/>
  <c r="T31" i="13"/>
  <c r="N31" i="13"/>
  <c r="N30" i="13"/>
  <c r="K27" i="13"/>
  <c r="R26" i="13"/>
  <c r="R25" i="13"/>
  <c r="L24" i="13"/>
  <c r="P19" i="13"/>
  <c r="L23" i="13"/>
  <c r="P15" i="13"/>
  <c r="P14" i="13"/>
  <c r="O19" i="13"/>
  <c r="R30" i="13"/>
  <c r="R24" i="13"/>
  <c r="R23" i="13"/>
  <c r="R14" i="13"/>
  <c r="R22" i="13"/>
  <c r="S32" i="13"/>
  <c r="S31" i="13"/>
  <c r="M31" i="13"/>
  <c r="M30" i="13"/>
  <c r="Q26" i="13"/>
  <c r="Q25" i="13"/>
  <c r="K24" i="13"/>
  <c r="P22" i="13"/>
  <c r="K23" i="13"/>
  <c r="O15" i="13"/>
  <c r="O14" i="13"/>
  <c r="N22" i="13"/>
  <c r="L22" i="13"/>
  <c r="Q24" i="13"/>
  <c r="Q30" i="13"/>
  <c r="Q23" i="13"/>
  <c r="Q14" i="13"/>
  <c r="T30" i="13"/>
  <c r="S30" i="13"/>
  <c r="T22" i="13"/>
  <c r="S22" i="13"/>
  <c r="Q22" i="13"/>
  <c r="T14" i="13"/>
  <c r="O22" i="13"/>
  <c r="S14" i="13"/>
  <c r="M22" i="13"/>
  <c r="K22" i="13"/>
  <c r="G13" i="13"/>
  <c r="G11" i="13"/>
  <c r="G8" i="13"/>
  <c r="G6" i="13"/>
  <c r="D14" i="13"/>
  <c r="D13" i="13"/>
  <c r="D12" i="13"/>
  <c r="D11" i="13"/>
  <c r="P14" i="15"/>
  <c r="P13" i="15"/>
  <c r="P15" i="15"/>
  <c r="P12" i="15"/>
  <c r="P11" i="15"/>
  <c r="P16" i="15"/>
  <c r="P10" i="15"/>
  <c r="P9" i="15"/>
  <c r="P8" i="15"/>
  <c r="P7" i="15"/>
  <c r="P6" i="15"/>
  <c r="P6" i="1"/>
  <c r="V77" i="9"/>
  <c r="U77" i="9"/>
  <c r="T77" i="9"/>
  <c r="S77" i="9"/>
  <c r="Q77" i="9"/>
  <c r="N77" i="9"/>
  <c r="V67" i="9"/>
  <c r="U71" i="9"/>
  <c r="T69" i="9"/>
  <c r="S69" i="9"/>
  <c r="Q69" i="9"/>
  <c r="T67" i="9"/>
  <c r="S67" i="9"/>
  <c r="Q67" i="9"/>
  <c r="V57" i="9"/>
  <c r="U61" i="9"/>
  <c r="T59" i="9"/>
  <c r="S59" i="9"/>
  <c r="T57" i="9"/>
  <c r="Q59" i="9"/>
  <c r="Q57" i="9"/>
  <c r="J2" i="14" l="1"/>
  <c r="S57" i="9"/>
  <c r="U86" i="9"/>
  <c r="V86" i="9" s="1"/>
  <c r="D8" i="17"/>
  <c r="C7" i="17"/>
  <c r="C29" i="13"/>
  <c r="AB13" i="13"/>
  <c r="AB10" i="13"/>
  <c r="AB7" i="13"/>
  <c r="C21" i="13"/>
  <c r="R8" i="13"/>
  <c r="R6" i="13"/>
  <c r="P6" i="13"/>
  <c r="P11" i="13" s="1"/>
  <c r="N6" i="13"/>
  <c r="Q8" i="13"/>
  <c r="M6" i="13"/>
  <c r="P9" i="4"/>
  <c r="C70" i="10"/>
  <c r="C71" i="10" s="1"/>
  <c r="D71" i="10" s="1"/>
  <c r="B71" i="10"/>
  <c r="B70" i="10"/>
  <c r="B59" i="10"/>
  <c r="A71" i="10"/>
  <c r="A70" i="10"/>
  <c r="C58" i="10"/>
  <c r="C59" i="10" s="1"/>
  <c r="D57" i="10" s="1"/>
  <c r="C57" i="10"/>
  <c r="C56" i="10"/>
  <c r="B58" i="10"/>
  <c r="B57" i="10"/>
  <c r="B56" i="10"/>
  <c r="B47" i="10"/>
  <c r="A59" i="10"/>
  <c r="A58" i="10"/>
  <c r="A57" i="10"/>
  <c r="A56" i="10"/>
  <c r="C47" i="10"/>
  <c r="B50" i="10"/>
  <c r="B49" i="10"/>
  <c r="B48" i="10"/>
  <c r="A48" i="10"/>
  <c r="A47" i="10"/>
  <c r="A50" i="10"/>
  <c r="A49" i="10"/>
  <c r="B32" i="10"/>
  <c r="B33" i="10"/>
  <c r="B34" i="10"/>
  <c r="B35" i="10"/>
  <c r="B36" i="10"/>
  <c r="B37" i="10"/>
  <c r="B38" i="10"/>
  <c r="B39" i="10"/>
  <c r="B40" i="10"/>
  <c r="B41" i="10"/>
  <c r="B6" i="10"/>
  <c r="B5" i="10"/>
  <c r="B4" i="10"/>
  <c r="A39" i="10"/>
  <c r="A40" i="10"/>
  <c r="A41" i="10"/>
  <c r="A32" i="10"/>
  <c r="A33" i="10"/>
  <c r="A34" i="10"/>
  <c r="A35" i="10"/>
  <c r="A36" i="10"/>
  <c r="A37" i="10"/>
  <c r="A38" i="10"/>
  <c r="A31" i="10"/>
  <c r="AB61" i="4"/>
  <c r="AI52" i="4"/>
  <c r="R51" i="4"/>
  <c r="I51" i="4"/>
  <c r="AD59" i="4"/>
  <c r="AD52" i="4"/>
  <c r="D21" i="15"/>
  <c r="M21" i="15"/>
  <c r="N21" i="15"/>
  <c r="D22" i="15"/>
  <c r="M22" i="15"/>
  <c r="N22" i="15"/>
  <c r="D23" i="15"/>
  <c r="M23" i="15"/>
  <c r="N23" i="15"/>
  <c r="C24" i="15"/>
  <c r="M24" i="15"/>
  <c r="N24" i="15"/>
  <c r="D25" i="15"/>
  <c r="M25" i="15"/>
  <c r="N25" i="15"/>
  <c r="C26" i="15"/>
  <c r="M26" i="15"/>
  <c r="N26" i="15"/>
  <c r="D27" i="15"/>
  <c r="M27" i="15"/>
  <c r="N27" i="15"/>
  <c r="C28" i="15"/>
  <c r="M28" i="15"/>
  <c r="N28" i="15"/>
  <c r="D29" i="15"/>
  <c r="M29" i="15"/>
  <c r="N29" i="15"/>
  <c r="C30" i="15"/>
  <c r="M30" i="15"/>
  <c r="N30" i="15"/>
  <c r="D18" i="15"/>
  <c r="M18" i="15"/>
  <c r="N18" i="15"/>
  <c r="D19" i="15"/>
  <c r="M19" i="15"/>
  <c r="N19" i="15"/>
  <c r="H1" i="15"/>
  <c r="D6" i="15"/>
  <c r="M6" i="15"/>
  <c r="N6" i="15"/>
  <c r="D7" i="15"/>
  <c r="M7" i="15"/>
  <c r="N7" i="15"/>
  <c r="D8" i="15"/>
  <c r="M8" i="15"/>
  <c r="N8" i="15"/>
  <c r="M9" i="15"/>
  <c r="N9" i="15"/>
  <c r="M10" i="15"/>
  <c r="N10" i="15"/>
  <c r="M11" i="15"/>
  <c r="N11" i="15"/>
  <c r="M12" i="15"/>
  <c r="N12" i="15"/>
  <c r="D13" i="15"/>
  <c r="M13" i="15"/>
  <c r="N13" i="15"/>
  <c r="D14" i="15"/>
  <c r="M14" i="15"/>
  <c r="N14" i="15"/>
  <c r="M15" i="15"/>
  <c r="N15" i="15"/>
  <c r="M16" i="15"/>
  <c r="N16" i="15"/>
  <c r="O22" i="9"/>
  <c r="O26" i="9"/>
  <c r="J22" i="9"/>
  <c r="B13" i="14"/>
  <c r="D12" i="14"/>
  <c r="B12" i="14"/>
  <c r="B11" i="14"/>
  <c r="P22" i="9"/>
  <c r="J9" i="14"/>
  <c r="H4" i="14"/>
  <c r="T86" i="9"/>
  <c r="R86" i="9"/>
  <c r="R60" i="9"/>
  <c r="Q86" i="9"/>
  <c r="J4" i="14" l="1"/>
  <c r="J14" i="14" s="1"/>
  <c r="F11" i="14"/>
  <c r="H11" i="14" s="1"/>
  <c r="J11" i="14" s="1"/>
  <c r="F12" i="14"/>
  <c r="H12" i="14" s="1"/>
  <c r="J12" i="14" s="1"/>
  <c r="F13" i="14"/>
  <c r="H13" i="14" s="1"/>
  <c r="J13" i="14" s="1"/>
  <c r="G30" i="14"/>
  <c r="G32" i="14"/>
  <c r="C12" i="17"/>
  <c r="C13" i="17" s="1"/>
  <c r="D7" i="17"/>
  <c r="G12" i="13"/>
  <c r="S8" i="13"/>
  <c r="M8" i="13"/>
  <c r="G14" i="13"/>
  <c r="R7" i="13" s="1"/>
  <c r="R11" i="13" s="1"/>
  <c r="Q7" i="13"/>
  <c r="D70" i="10"/>
  <c r="D56" i="10"/>
  <c r="D59" i="10"/>
  <c r="D58" i="10"/>
  <c r="C48" i="10"/>
  <c r="O57" i="9"/>
  <c r="O77" i="9"/>
  <c r="G18" i="14" l="1"/>
  <c r="G34" i="14"/>
  <c r="C21" i="17"/>
  <c r="D25" i="17"/>
  <c r="T8" i="13"/>
  <c r="N8" i="13"/>
  <c r="C49" i="10"/>
  <c r="O86" i="9"/>
  <c r="A3" i="10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P86" i="9"/>
  <c r="C50" i="10" l="1"/>
  <c r="C87" i="9"/>
  <c r="C86" i="9"/>
  <c r="A87" i="9"/>
  <c r="A86" i="9"/>
  <c r="S86" i="9"/>
  <c r="K4" i="1"/>
  <c r="K6" i="1" s="1"/>
  <c r="N2" i="3"/>
  <c r="H5" i="3"/>
  <c r="M8" i="3"/>
  <c r="H4" i="3"/>
  <c r="P77" i="9"/>
  <c r="R77" i="9" s="1"/>
  <c r="P69" i="9"/>
  <c r="P67" i="9"/>
  <c r="O69" i="9"/>
  <c r="O67" i="9"/>
  <c r="U67" i="9" s="1"/>
  <c r="R70" i="9"/>
  <c r="S70" i="9" s="1"/>
  <c r="Q70" i="9"/>
  <c r="U69" i="9"/>
  <c r="P59" i="9"/>
  <c r="P57" i="9"/>
  <c r="U57" i="9" s="1"/>
  <c r="O59" i="9"/>
  <c r="U59" i="9" s="1"/>
  <c r="S60" i="9"/>
  <c r="H22" i="9"/>
  <c r="D50" i="10" l="1"/>
  <c r="D47" i="10"/>
  <c r="D48" i="10"/>
  <c r="D49" i="10"/>
  <c r="J21" i="15"/>
  <c r="L21" i="15" s="1"/>
  <c r="L7" i="1"/>
  <c r="L5" i="1"/>
  <c r="J18" i="15"/>
  <c r="L18" i="15" s="1"/>
  <c r="D2" i="15"/>
  <c r="T70" i="9"/>
  <c r="U70" i="9" s="1"/>
  <c r="T60" i="9"/>
  <c r="U60" i="9" s="1"/>
  <c r="K12" i="1" l="1"/>
  <c r="J27" i="15" s="1"/>
  <c r="K21" i="1"/>
  <c r="J11" i="15" s="1"/>
  <c r="L11" i="15" s="1"/>
  <c r="O18" i="15"/>
  <c r="O21" i="15"/>
  <c r="Q11" i="15" l="1"/>
  <c r="O11" i="15"/>
  <c r="P19" i="6"/>
  <c r="Q19" i="6" s="1"/>
  <c r="P18" i="6"/>
  <c r="P22" i="6"/>
  <c r="Q22" i="6" s="1"/>
  <c r="P21" i="6"/>
  <c r="P30" i="6"/>
  <c r="Q30" i="6" s="1"/>
  <c r="P29" i="6"/>
  <c r="P28" i="6"/>
  <c r="P27" i="6"/>
  <c r="Q27" i="6" s="1"/>
  <c r="P26" i="6"/>
  <c r="Q26" i="6" s="1"/>
  <c r="P24" i="6"/>
  <c r="P25" i="6"/>
  <c r="P23" i="6"/>
  <c r="Q23" i="6" s="1"/>
  <c r="Q24" i="6"/>
  <c r="Q25" i="6"/>
  <c r="Q28" i="6"/>
  <c r="Q29" i="6"/>
  <c r="Q21" i="6"/>
  <c r="Q18" i="6" l="1"/>
  <c r="R11" i="15"/>
  <c r="S11" i="15" s="1"/>
  <c r="T11" i="15"/>
  <c r="U11" i="15"/>
  <c r="I22" i="9" l="1"/>
  <c r="B25" i="11" l="1"/>
  <c r="B28" i="11" s="1"/>
  <c r="B29" i="11" l="1"/>
  <c r="J29" i="9"/>
  <c r="P28" i="9" s="1"/>
  <c r="I29" i="9"/>
  <c r="H29" i="9"/>
  <c r="N28" i="9" s="1"/>
  <c r="J28" i="9"/>
  <c r="O28" i="9" s="1"/>
  <c r="Q28" i="9" s="1"/>
  <c r="R28" i="9" s="1"/>
  <c r="I28" i="9"/>
  <c r="H28" i="9"/>
  <c r="I25" i="9"/>
  <c r="H25" i="9"/>
  <c r="J27" i="9"/>
  <c r="I27" i="9"/>
  <c r="H27" i="9"/>
  <c r="N26" i="9" s="1"/>
  <c r="J26" i="9"/>
  <c r="I26" i="9"/>
  <c r="H26" i="9"/>
  <c r="J24" i="9"/>
  <c r="I24" i="9"/>
  <c r="H24" i="9"/>
  <c r="J23" i="9"/>
  <c r="I23" i="9"/>
  <c r="H23" i="9"/>
  <c r="I31" i="9"/>
  <c r="H31" i="9"/>
  <c r="J30" i="9"/>
  <c r="I30" i="9"/>
  <c r="H30" i="9"/>
  <c r="J32" i="9"/>
  <c r="P32" i="9" s="1"/>
  <c r="I32" i="9"/>
  <c r="H32" i="9"/>
  <c r="N30" i="9" s="1"/>
  <c r="D11" i="11" l="1"/>
  <c r="D10" i="11"/>
  <c r="D9" i="11"/>
  <c r="J8" i="11"/>
  <c r="K8" i="11" s="1"/>
  <c r="O30" i="9"/>
  <c r="P30" i="9"/>
  <c r="Q22" i="9"/>
  <c r="P26" i="9"/>
  <c r="W22" i="9"/>
  <c r="S28" i="9"/>
  <c r="N22" i="9"/>
  <c r="O32" i="9"/>
  <c r="Q32" i="9" s="1"/>
  <c r="R32" i="9" s="1"/>
  <c r="R22" i="9"/>
  <c r="Q30" i="9"/>
  <c r="R30" i="9" s="1"/>
  <c r="S30" i="9" s="1"/>
  <c r="N30" i="6"/>
  <c r="U17" i="5"/>
  <c r="M30" i="6"/>
  <c r="F4" i="1"/>
  <c r="C18" i="15" s="1"/>
  <c r="Z27" i="5"/>
  <c r="AB27" i="5"/>
  <c r="X27" i="5"/>
  <c r="V27" i="5"/>
  <c r="V16" i="5"/>
  <c r="V15" i="5"/>
  <c r="V14" i="5"/>
  <c r="V9" i="5"/>
  <c r="V5" i="5"/>
  <c r="V10" i="5"/>
  <c r="V8" i="5"/>
  <c r="V13" i="5"/>
  <c r="V11" i="5"/>
  <c r="V7" i="5"/>
  <c r="V6" i="5"/>
  <c r="V12" i="5"/>
  <c r="V4" i="5"/>
  <c r="C13" i="4"/>
  <c r="D13" i="4"/>
  <c r="N13" i="4"/>
  <c r="O13" i="4"/>
  <c r="N29" i="6"/>
  <c r="N28" i="6"/>
  <c r="N27" i="6"/>
  <c r="N24" i="6"/>
  <c r="N25" i="6"/>
  <c r="N26" i="6"/>
  <c r="N23" i="6"/>
  <c r="N22" i="6"/>
  <c r="N21" i="6"/>
  <c r="N19" i="6"/>
  <c r="N18" i="6"/>
  <c r="N16" i="6"/>
  <c r="N15" i="6"/>
  <c r="N14" i="6"/>
  <c r="N13" i="6"/>
  <c r="N12" i="6"/>
  <c r="N11" i="6"/>
  <c r="N10" i="6"/>
  <c r="N9" i="6"/>
  <c r="N7" i="6"/>
  <c r="N8" i="6"/>
  <c r="N6" i="6"/>
  <c r="M28" i="6"/>
  <c r="M29" i="6"/>
  <c r="M27" i="6"/>
  <c r="M24" i="6"/>
  <c r="M25" i="6"/>
  <c r="M26" i="6"/>
  <c r="M23" i="6"/>
  <c r="M22" i="6"/>
  <c r="M21" i="6"/>
  <c r="M19" i="6"/>
  <c r="M18" i="6"/>
  <c r="M16" i="6"/>
  <c r="M15" i="6"/>
  <c r="M14" i="6"/>
  <c r="M13" i="6"/>
  <c r="M12" i="6"/>
  <c r="M11" i="6"/>
  <c r="M10" i="6"/>
  <c r="M9" i="6"/>
  <c r="M7" i="6"/>
  <c r="M8" i="6"/>
  <c r="M6" i="6"/>
  <c r="V40" i="4"/>
  <c r="V35" i="4"/>
  <c r="V32" i="4"/>
  <c r="V26" i="4"/>
  <c r="S40" i="4"/>
  <c r="S35" i="4"/>
  <c r="S32" i="4"/>
  <c r="S26" i="4"/>
  <c r="O17" i="4"/>
  <c r="O15" i="4"/>
  <c r="O19" i="4"/>
  <c r="O14" i="4"/>
  <c r="O18" i="4"/>
  <c r="O16" i="4"/>
  <c r="O20" i="4"/>
  <c r="O11" i="4"/>
  <c r="O10" i="4"/>
  <c r="O8" i="4"/>
  <c r="N14" i="4"/>
  <c r="N18" i="4"/>
  <c r="N16" i="4"/>
  <c r="N20" i="4"/>
  <c r="N19" i="4"/>
  <c r="N15" i="4"/>
  <c r="N17" i="4"/>
  <c r="N11" i="4"/>
  <c r="N10" i="4"/>
  <c r="N8" i="4"/>
  <c r="O7" i="4"/>
  <c r="N7" i="4"/>
  <c r="M7" i="4"/>
  <c r="H1" i="6"/>
  <c r="N3" i="3"/>
  <c r="H7" i="3"/>
  <c r="C42" i="4"/>
  <c r="D19" i="4"/>
  <c r="D41" i="4" s="1"/>
  <c r="S32" i="9" l="1"/>
  <c r="W34" i="9"/>
  <c r="X22" i="9"/>
  <c r="X34" i="9" s="1"/>
  <c r="Q26" i="9"/>
  <c r="R26" i="9" s="1"/>
  <c r="S22" i="9"/>
  <c r="I11" i="3"/>
  <c r="K25" i="1" s="1"/>
  <c r="I9" i="3"/>
  <c r="C20" i="4"/>
  <c r="C43" i="4" s="1"/>
  <c r="F45" i="1"/>
  <c r="F44" i="1"/>
  <c r="F43" i="1"/>
  <c r="F42" i="1"/>
  <c r="F41" i="1"/>
  <c r="F40" i="1"/>
  <c r="F37" i="1"/>
  <c r="G38" i="1" s="1"/>
  <c r="F36" i="1"/>
  <c r="F33" i="1"/>
  <c r="G34" i="1" s="1"/>
  <c r="F32" i="1"/>
  <c r="F29" i="1"/>
  <c r="F27" i="1"/>
  <c r="F25" i="1"/>
  <c r="F24" i="1"/>
  <c r="F23" i="1"/>
  <c r="F22" i="1"/>
  <c r="F21" i="1"/>
  <c r="F20" i="1"/>
  <c r="F19" i="1"/>
  <c r="C8" i="15" s="1"/>
  <c r="F16" i="1"/>
  <c r="F15" i="1"/>
  <c r="C7" i="15" s="1"/>
  <c r="F12" i="1"/>
  <c r="F11" i="1"/>
  <c r="F8" i="1"/>
  <c r="F6" i="1"/>
  <c r="G5" i="1"/>
  <c r="D29" i="6"/>
  <c r="D27" i="6"/>
  <c r="D25" i="6"/>
  <c r="D23" i="6"/>
  <c r="D22" i="6"/>
  <c r="D21" i="6"/>
  <c r="C19" i="4"/>
  <c r="C38" i="4" s="1"/>
  <c r="C17" i="4"/>
  <c r="C37" i="4" s="1"/>
  <c r="C16" i="4"/>
  <c r="C41" i="4" s="1"/>
  <c r="C15" i="4"/>
  <c r="C36" i="4" s="1"/>
  <c r="C14" i="4"/>
  <c r="C40" i="4" s="1"/>
  <c r="C35" i="4"/>
  <c r="C11" i="4"/>
  <c r="C33" i="4" s="1"/>
  <c r="C10" i="4"/>
  <c r="C32" i="4" s="1"/>
  <c r="C8" i="4"/>
  <c r="C27" i="4" s="1"/>
  <c r="C7" i="4"/>
  <c r="C26" i="4" s="1"/>
  <c r="G45" i="1"/>
  <c r="G44" i="1"/>
  <c r="G43" i="1"/>
  <c r="G42" i="1"/>
  <c r="G41" i="1"/>
  <c r="G40" i="1"/>
  <c r="G39" i="1"/>
  <c r="G37" i="1"/>
  <c r="G36" i="1"/>
  <c r="G35" i="1"/>
  <c r="G33" i="1"/>
  <c r="G32" i="1"/>
  <c r="G31" i="1"/>
  <c r="G29" i="1"/>
  <c r="G24" i="1"/>
  <c r="G23" i="1"/>
  <c r="G22" i="1"/>
  <c r="G21" i="1"/>
  <c r="G20" i="1"/>
  <c r="G19" i="1"/>
  <c r="G18" i="1"/>
  <c r="G16" i="1"/>
  <c r="G15" i="1"/>
  <c r="G14" i="1"/>
  <c r="G12" i="1"/>
  <c r="G11" i="1"/>
  <c r="G10" i="1"/>
  <c r="G8" i="1"/>
  <c r="C21" i="6" l="1"/>
  <c r="C21" i="15"/>
  <c r="C6" i="6"/>
  <c r="C6" i="15"/>
  <c r="K19" i="15"/>
  <c r="L19" i="15" s="1"/>
  <c r="D3" i="15"/>
  <c r="D1" i="15" s="1"/>
  <c r="F1" i="15" s="1"/>
  <c r="C12" i="6"/>
  <c r="C12" i="15"/>
  <c r="C14" i="6"/>
  <c r="C14" i="15"/>
  <c r="C23" i="15"/>
  <c r="C23" i="6"/>
  <c r="G13" i="1"/>
  <c r="C27" i="15"/>
  <c r="G17" i="1"/>
  <c r="C29" i="15"/>
  <c r="C15" i="6"/>
  <c r="C15" i="15"/>
  <c r="C9" i="6"/>
  <c r="C9" i="15"/>
  <c r="C10" i="6"/>
  <c r="C10" i="15"/>
  <c r="C25" i="6"/>
  <c r="C25" i="15"/>
  <c r="C16" i="6"/>
  <c r="C16" i="15"/>
  <c r="C11" i="6"/>
  <c r="C11" i="15"/>
  <c r="C13" i="6"/>
  <c r="C13" i="15"/>
  <c r="G26" i="1"/>
  <c r="C19" i="15"/>
  <c r="C22" i="6"/>
  <c r="C22" i="15"/>
  <c r="S26" i="9"/>
  <c r="C27" i="6"/>
  <c r="C29" i="6"/>
  <c r="G28" i="1"/>
  <c r="G7" i="1"/>
  <c r="G9" i="1"/>
  <c r="G30" i="1"/>
  <c r="O17" i="5"/>
  <c r="O19" i="15" l="1"/>
  <c r="D14" i="6"/>
  <c r="D13" i="6"/>
  <c r="D7" i="4"/>
  <c r="D26" i="4" s="1"/>
  <c r="H1" i="4" l="1"/>
  <c r="J7" i="4" l="1"/>
  <c r="J18" i="6"/>
  <c r="L18" i="6" s="1"/>
  <c r="K19" i="6"/>
  <c r="L19" i="6" s="1"/>
  <c r="U19" i="6" s="1"/>
  <c r="B20" i="10" s="1"/>
  <c r="L26" i="1"/>
  <c r="K27" i="1"/>
  <c r="K22" i="15" s="1"/>
  <c r="L22" i="15" s="1"/>
  <c r="D3" i="4"/>
  <c r="K8" i="4" s="1"/>
  <c r="D3" i="6"/>
  <c r="D2" i="4"/>
  <c r="D2" i="6"/>
  <c r="O22" i="15" l="1"/>
  <c r="K45" i="1"/>
  <c r="K14" i="15" s="1"/>
  <c r="L14" i="15" s="1"/>
  <c r="K43" i="1"/>
  <c r="K9" i="15" s="1"/>
  <c r="K42" i="1"/>
  <c r="K12" i="15" s="1"/>
  <c r="L12" i="15" s="1"/>
  <c r="U18" i="6"/>
  <c r="B14" i="10" s="1"/>
  <c r="T18" i="6"/>
  <c r="K12" i="6"/>
  <c r="L12" i="6" s="1"/>
  <c r="K44" i="1"/>
  <c r="K14" i="6"/>
  <c r="L14" i="6" s="1"/>
  <c r="K9" i="6"/>
  <c r="K22" i="6"/>
  <c r="L22" i="6" s="1"/>
  <c r="U22" i="6" s="1"/>
  <c r="B21" i="10" s="1"/>
  <c r="L28" i="1"/>
  <c r="Q12" i="6"/>
  <c r="P12" i="6"/>
  <c r="O12" i="6"/>
  <c r="O19" i="6"/>
  <c r="E34" i="8" s="1"/>
  <c r="Q14" i="6"/>
  <c r="P14" i="6"/>
  <c r="O14" i="6"/>
  <c r="O18" i="6"/>
  <c r="J21" i="6"/>
  <c r="L21" i="6" s="1"/>
  <c r="J26" i="4"/>
  <c r="L7" i="4"/>
  <c r="K27" i="4"/>
  <c r="L8" i="4"/>
  <c r="D1" i="6"/>
  <c r="F1" i="6" s="1"/>
  <c r="D1" i="4"/>
  <c r="C30" i="6"/>
  <c r="C28" i="6"/>
  <c r="C26" i="6"/>
  <c r="C24" i="6"/>
  <c r="D20" i="4"/>
  <c r="D43" i="4" s="1"/>
  <c r="D16" i="4"/>
  <c r="D38" i="4" s="1"/>
  <c r="C18" i="6"/>
  <c r="K10" i="6" l="1"/>
  <c r="K10" i="15"/>
  <c r="Q12" i="15"/>
  <c r="O12" i="15"/>
  <c r="Q14" i="15"/>
  <c r="O14" i="15"/>
  <c r="U14" i="15"/>
  <c r="R8" i="4"/>
  <c r="K8" i="1"/>
  <c r="J23" i="15" s="1"/>
  <c r="L23" i="15" s="1"/>
  <c r="K22" i="1"/>
  <c r="K20" i="1"/>
  <c r="K16" i="1"/>
  <c r="J29" i="15" s="1"/>
  <c r="J11" i="6"/>
  <c r="L11" i="6" s="1"/>
  <c r="K23" i="1"/>
  <c r="K24" i="1"/>
  <c r="K11" i="4"/>
  <c r="K33" i="4" s="1"/>
  <c r="K41" i="1"/>
  <c r="K37" i="1"/>
  <c r="K29" i="15" s="1"/>
  <c r="L29" i="15" s="1"/>
  <c r="K29" i="1"/>
  <c r="K25" i="15" s="1"/>
  <c r="L25" i="15" s="1"/>
  <c r="K33" i="1"/>
  <c r="K27" i="15" s="1"/>
  <c r="L27" i="15" s="1"/>
  <c r="U12" i="6"/>
  <c r="B8" i="10" s="1"/>
  <c r="U14" i="6"/>
  <c r="B11" i="10" s="1"/>
  <c r="J10" i="4"/>
  <c r="J32" i="4" s="1"/>
  <c r="L26" i="4"/>
  <c r="R7" i="4"/>
  <c r="R19" i="6"/>
  <c r="S19" i="6" s="1"/>
  <c r="T19" i="6"/>
  <c r="R14" i="6"/>
  <c r="T14" i="6"/>
  <c r="R12" i="6"/>
  <c r="T12" i="6"/>
  <c r="R18" i="6"/>
  <c r="S18" i="6" s="1"/>
  <c r="U21" i="6"/>
  <c r="B15" i="10" s="1"/>
  <c r="O21" i="6"/>
  <c r="C34" i="8"/>
  <c r="O22" i="6"/>
  <c r="L27" i="4"/>
  <c r="D19" i="6"/>
  <c r="C19" i="6"/>
  <c r="D18" i="6"/>
  <c r="G3" i="4"/>
  <c r="G2" i="4"/>
  <c r="P7" i="4" s="1"/>
  <c r="Q7" i="4" s="1"/>
  <c r="D8" i="6"/>
  <c r="C8" i="6"/>
  <c r="D7" i="6"/>
  <c r="C7" i="6"/>
  <c r="D6" i="6"/>
  <c r="D18" i="4"/>
  <c r="D42" i="4" s="1"/>
  <c r="D14" i="4"/>
  <c r="D37" i="4" s="1"/>
  <c r="D15" i="4"/>
  <c r="D36" i="4" s="1"/>
  <c r="D17" i="4"/>
  <c r="D40" i="4" s="1"/>
  <c r="D35" i="4"/>
  <c r="D11" i="4"/>
  <c r="D33" i="4" s="1"/>
  <c r="D10" i="4"/>
  <c r="D32" i="4" s="1"/>
  <c r="D8" i="4"/>
  <c r="D27" i="4" s="1"/>
  <c r="O27" i="15" l="1"/>
  <c r="J15" i="6"/>
  <c r="L15" i="6" s="1"/>
  <c r="J15" i="15"/>
  <c r="L15" i="15" s="1"/>
  <c r="O29" i="15"/>
  <c r="L11" i="4"/>
  <c r="J9" i="6"/>
  <c r="L9" i="6" s="1"/>
  <c r="J9" i="15"/>
  <c r="L9" i="15" s="1"/>
  <c r="R14" i="15"/>
  <c r="S14" i="15" s="1"/>
  <c r="T14" i="15"/>
  <c r="R12" i="15"/>
  <c r="S12" i="15" s="1"/>
  <c r="D8" i="13" s="1"/>
  <c r="Q6" i="13" s="1"/>
  <c r="Q11" i="13" s="1"/>
  <c r="T12" i="15"/>
  <c r="O25" i="15"/>
  <c r="W86" i="9"/>
  <c r="Y86" i="9" s="1"/>
  <c r="X86" i="9"/>
  <c r="L10" i="4"/>
  <c r="L32" i="4" s="1"/>
  <c r="K16" i="6"/>
  <c r="L16" i="6" s="1"/>
  <c r="K16" i="15"/>
  <c r="L16" i="15" s="1"/>
  <c r="J13" i="6"/>
  <c r="L13" i="6" s="1"/>
  <c r="P13" i="6" s="1"/>
  <c r="J13" i="15"/>
  <c r="L13" i="15" s="1"/>
  <c r="J10" i="6"/>
  <c r="L10" i="6" s="1"/>
  <c r="J10" i="15"/>
  <c r="L10" i="15" s="1"/>
  <c r="O23" i="15"/>
  <c r="U12" i="15"/>
  <c r="O13" i="6"/>
  <c r="I28" i="8" s="1"/>
  <c r="Q13" i="6"/>
  <c r="Q11" i="6"/>
  <c r="P11" i="6"/>
  <c r="O11" i="6"/>
  <c r="G28" i="8" s="1"/>
  <c r="J29" i="6"/>
  <c r="L17" i="1"/>
  <c r="Q15" i="6"/>
  <c r="P15" i="6"/>
  <c r="O15" i="6"/>
  <c r="K27" i="6"/>
  <c r="L34" i="1"/>
  <c r="L30" i="1"/>
  <c r="K25" i="6"/>
  <c r="L25" i="6" s="1"/>
  <c r="K29" i="6"/>
  <c r="L29" i="6" s="1"/>
  <c r="U29" i="6" s="1"/>
  <c r="B12" i="10" s="1"/>
  <c r="L38" i="1"/>
  <c r="L10" i="1"/>
  <c r="J23" i="6"/>
  <c r="L23" i="6" s="1"/>
  <c r="T23" i="6" s="1"/>
  <c r="L9" i="1"/>
  <c r="J13" i="4" s="1"/>
  <c r="S12" i="6"/>
  <c r="S14" i="6"/>
  <c r="T25" i="6"/>
  <c r="R25" i="6"/>
  <c r="S25" i="6" s="1"/>
  <c r="L33" i="4"/>
  <c r="R11" i="4"/>
  <c r="R23" i="6"/>
  <c r="S23" i="6" s="1"/>
  <c r="O29" i="6"/>
  <c r="P20" i="4"/>
  <c r="Q20" i="4" s="1"/>
  <c r="P16" i="4"/>
  <c r="Q16" i="4" s="1"/>
  <c r="P18" i="4"/>
  <c r="Q18" i="4" s="1"/>
  <c r="P14" i="4"/>
  <c r="Q14" i="4" s="1"/>
  <c r="P19" i="4"/>
  <c r="Q19" i="4" s="1"/>
  <c r="P15" i="4"/>
  <c r="Q15" i="4" s="1"/>
  <c r="P17" i="4"/>
  <c r="Q17" i="4" s="1"/>
  <c r="P11" i="4"/>
  <c r="Q11" i="4" s="1"/>
  <c r="P10" i="4"/>
  <c r="Q10" i="4" s="1"/>
  <c r="P8" i="4"/>
  <c r="P13" i="4"/>
  <c r="Q13" i="4" s="1"/>
  <c r="T21" i="6"/>
  <c r="R21" i="6"/>
  <c r="S21" i="6" s="1"/>
  <c r="T22" i="6"/>
  <c r="R22" i="6"/>
  <c r="S22" i="6" s="1"/>
  <c r="F1" i="4"/>
  <c r="G27" i="1"/>
  <c r="G6" i="1"/>
  <c r="Q10" i="15" l="1"/>
  <c r="O10" i="15"/>
  <c r="Q13" i="15"/>
  <c r="O13" i="15"/>
  <c r="U13" i="15"/>
  <c r="P16" i="6"/>
  <c r="U16" i="6" s="1"/>
  <c r="B9" i="10" s="1"/>
  <c r="Q16" i="6"/>
  <c r="O16" i="6"/>
  <c r="K28" i="8" s="1"/>
  <c r="C14" i="8" s="1"/>
  <c r="Q10" i="6"/>
  <c r="P10" i="6"/>
  <c r="O10" i="6"/>
  <c r="J24" i="15"/>
  <c r="L24" i="15" s="1"/>
  <c r="K11" i="1"/>
  <c r="O9" i="15"/>
  <c r="Q9" i="15"/>
  <c r="U9" i="15"/>
  <c r="P9" i="6"/>
  <c r="Q9" i="6"/>
  <c r="O9" i="6"/>
  <c r="E28" i="8" s="1"/>
  <c r="C10" i="8" s="1"/>
  <c r="R10" i="4"/>
  <c r="S10" i="4" s="1"/>
  <c r="T10" i="4" s="1"/>
  <c r="U10" i="4" s="1"/>
  <c r="M32" i="4" s="1"/>
  <c r="Q16" i="15"/>
  <c r="U16" i="15"/>
  <c r="O16" i="15"/>
  <c r="Q8" i="4"/>
  <c r="S8" i="4" s="1"/>
  <c r="T8" i="4" s="1"/>
  <c r="U8" i="4" s="1"/>
  <c r="Q15" i="15"/>
  <c r="O15" i="15"/>
  <c r="S7" i="4"/>
  <c r="U15" i="6"/>
  <c r="R15" i="6"/>
  <c r="S15" i="6" s="1"/>
  <c r="T15" i="6"/>
  <c r="L18" i="1"/>
  <c r="J30" i="15" s="1"/>
  <c r="J16" i="4"/>
  <c r="J38" i="4" s="1"/>
  <c r="U11" i="6"/>
  <c r="R11" i="6"/>
  <c r="S11" i="6" s="1"/>
  <c r="T11" i="6"/>
  <c r="U13" i="6"/>
  <c r="B10" i="10" s="1"/>
  <c r="R13" i="6"/>
  <c r="S13" i="6" s="1"/>
  <c r="T13" i="6"/>
  <c r="L35" i="1"/>
  <c r="K28" i="15" s="1"/>
  <c r="K14" i="4"/>
  <c r="K37" i="4" s="1"/>
  <c r="L39" i="1"/>
  <c r="K30" i="15" s="1"/>
  <c r="L30" i="15" s="1"/>
  <c r="K16" i="4"/>
  <c r="U25" i="6"/>
  <c r="B22" i="10" s="1"/>
  <c r="O25" i="6"/>
  <c r="T16" i="6"/>
  <c r="R16" i="6"/>
  <c r="S16" i="6" s="1"/>
  <c r="L31" i="1"/>
  <c r="K26" i="15" s="1"/>
  <c r="L26" i="15" s="1"/>
  <c r="K15" i="4"/>
  <c r="U23" i="6"/>
  <c r="B16" i="10" s="1"/>
  <c r="O23" i="6"/>
  <c r="L13" i="4"/>
  <c r="J35" i="4"/>
  <c r="J17" i="4"/>
  <c r="J24" i="6"/>
  <c r="L24" i="6" s="1"/>
  <c r="R27" i="6"/>
  <c r="S27" i="6" s="1"/>
  <c r="S11" i="4"/>
  <c r="T11" i="4" s="1"/>
  <c r="U11" i="4" s="1"/>
  <c r="T29" i="6"/>
  <c r="R29" i="6"/>
  <c r="S29" i="6" s="1"/>
  <c r="R24" i="6"/>
  <c r="S24" i="6" s="1"/>
  <c r="M27" i="4" l="1"/>
  <c r="V8" i="4"/>
  <c r="O26" i="15"/>
  <c r="O30" i="15"/>
  <c r="W77" i="9"/>
  <c r="Y77" i="9" s="1"/>
  <c r="X77" i="9"/>
  <c r="T26" i="9"/>
  <c r="R13" i="15"/>
  <c r="S13" i="15" s="1"/>
  <c r="D10" i="13" s="1"/>
  <c r="T13" i="15"/>
  <c r="R9" i="15"/>
  <c r="S9" i="15" s="1"/>
  <c r="T9" i="15"/>
  <c r="U10" i="6"/>
  <c r="B25" i="10" s="1"/>
  <c r="T10" i="6"/>
  <c r="R10" i="6"/>
  <c r="S10" i="6" s="1"/>
  <c r="U9" i="6"/>
  <c r="B24" i="10" s="1"/>
  <c r="R9" i="6"/>
  <c r="S9" i="6" s="1"/>
  <c r="T9" i="6"/>
  <c r="C20" i="14"/>
  <c r="G20" i="14" s="1"/>
  <c r="T15" i="15"/>
  <c r="R15" i="15"/>
  <c r="S15" i="15" s="1"/>
  <c r="R10" i="15"/>
  <c r="S10" i="15" s="1"/>
  <c r="D7" i="13" s="1"/>
  <c r="T10" i="15"/>
  <c r="O24" i="15"/>
  <c r="T7" i="4"/>
  <c r="U7" i="4" s="1"/>
  <c r="V11" i="4"/>
  <c r="M33" i="4"/>
  <c r="U15" i="15"/>
  <c r="U10" i="15"/>
  <c r="T16" i="15"/>
  <c r="R16" i="15"/>
  <c r="S16" i="15" s="1"/>
  <c r="T28" i="9"/>
  <c r="K19" i="1"/>
  <c r="J30" i="6"/>
  <c r="J20" i="4"/>
  <c r="J43" i="4" s="1"/>
  <c r="K19" i="4"/>
  <c r="K26" i="6"/>
  <c r="L26" i="6" s="1"/>
  <c r="T26" i="6" s="1"/>
  <c r="K32" i="1"/>
  <c r="K38" i="4"/>
  <c r="L16" i="4"/>
  <c r="K30" i="6"/>
  <c r="L30" i="6" s="1"/>
  <c r="O30" i="6" s="1"/>
  <c r="K20" i="4"/>
  <c r="K40" i="1"/>
  <c r="L15" i="4"/>
  <c r="K36" i="4"/>
  <c r="K28" i="6"/>
  <c r="K18" i="4"/>
  <c r="K42" i="4" s="1"/>
  <c r="K36" i="1"/>
  <c r="U24" i="6"/>
  <c r="B17" i="10" s="1"/>
  <c r="O24" i="6"/>
  <c r="L17" i="4"/>
  <c r="J40" i="4"/>
  <c r="R13" i="4"/>
  <c r="S13" i="4" s="1"/>
  <c r="R35" i="4" s="1"/>
  <c r="L35" i="4"/>
  <c r="L13" i="1"/>
  <c r="J27" i="6"/>
  <c r="L27" i="6" s="1"/>
  <c r="T24" i="6"/>
  <c r="R32" i="4"/>
  <c r="V10" i="4"/>
  <c r="W10" i="4" s="1"/>
  <c r="R26" i="6"/>
  <c r="S26" i="6" s="1"/>
  <c r="S6" i="13" l="1"/>
  <c r="G10" i="13"/>
  <c r="T6" i="13" s="1"/>
  <c r="G7" i="13"/>
  <c r="S7" i="13"/>
  <c r="M7" i="13"/>
  <c r="M11" i="13" s="1"/>
  <c r="D9" i="13"/>
  <c r="S11" i="13"/>
  <c r="K7" i="6"/>
  <c r="L7" i="6" s="1"/>
  <c r="Q7" i="6" s="1"/>
  <c r="K7" i="15"/>
  <c r="L7" i="15" s="1"/>
  <c r="K6" i="15"/>
  <c r="J6" i="15"/>
  <c r="X67" i="9"/>
  <c r="W67" i="9"/>
  <c r="Y67" i="9" s="1"/>
  <c r="K8" i="6"/>
  <c r="K8" i="15"/>
  <c r="T22" i="9"/>
  <c r="Y22" i="9" s="1"/>
  <c r="P48" i="4"/>
  <c r="S48" i="4" s="1"/>
  <c r="P49" i="4"/>
  <c r="S49" i="4" s="1"/>
  <c r="M26" i="4"/>
  <c r="V7" i="4"/>
  <c r="W7" i="4" s="1"/>
  <c r="J8" i="6"/>
  <c r="J8" i="15"/>
  <c r="O7" i="6"/>
  <c r="P7" i="6"/>
  <c r="R15" i="4"/>
  <c r="S15" i="4" s="1"/>
  <c r="T15" i="4" s="1"/>
  <c r="U15" i="4" s="1"/>
  <c r="L36" i="4"/>
  <c r="U30" i="6"/>
  <c r="B13" i="10" s="1"/>
  <c r="K43" i="4"/>
  <c r="L20" i="4"/>
  <c r="K6" i="6"/>
  <c r="R16" i="4"/>
  <c r="S16" i="4" s="1"/>
  <c r="T16" i="4" s="1"/>
  <c r="U16" i="4" s="1"/>
  <c r="L38" i="4"/>
  <c r="U26" i="6"/>
  <c r="B23" i="10" s="1"/>
  <c r="O26" i="6"/>
  <c r="K41" i="4"/>
  <c r="L19" i="4"/>
  <c r="L40" i="4"/>
  <c r="R17" i="4"/>
  <c r="S17" i="4" s="1"/>
  <c r="T27" i="6"/>
  <c r="U27" i="6"/>
  <c r="B18" i="10" s="1"/>
  <c r="O27" i="6"/>
  <c r="N32" i="4"/>
  <c r="P32" i="4" s="1"/>
  <c r="T13" i="4"/>
  <c r="U13" i="4" s="1"/>
  <c r="M35" i="4" s="1"/>
  <c r="L14" i="1"/>
  <c r="J14" i="4"/>
  <c r="R28" i="6"/>
  <c r="S28" i="6" s="1"/>
  <c r="V13" i="4"/>
  <c r="T30" i="6"/>
  <c r="R30" i="6"/>
  <c r="S30" i="6" s="1"/>
  <c r="T32" i="4"/>
  <c r="U32" i="4" s="1"/>
  <c r="W32" i="4" s="1"/>
  <c r="K6" i="13" l="1"/>
  <c r="K11" i="13" s="1"/>
  <c r="C30" i="13" s="1"/>
  <c r="C31" i="13" s="1"/>
  <c r="G9" i="13"/>
  <c r="L6" i="13" s="1"/>
  <c r="L11" i="13" s="1"/>
  <c r="T7" i="13"/>
  <c r="T11" i="13" s="1"/>
  <c r="N7" i="13"/>
  <c r="N11" i="13" s="1"/>
  <c r="Y34" i="9"/>
  <c r="Z22" i="9"/>
  <c r="Z34" i="9" s="1"/>
  <c r="N26" i="4"/>
  <c r="G49" i="4"/>
  <c r="K49" i="4" s="1"/>
  <c r="G48" i="4"/>
  <c r="K48" i="4" s="1"/>
  <c r="K50" i="4" s="1"/>
  <c r="H53" i="4" s="1"/>
  <c r="L8" i="6"/>
  <c r="L6" i="15"/>
  <c r="L8" i="15"/>
  <c r="Q7" i="15"/>
  <c r="U7" i="15" s="1"/>
  <c r="O7" i="15"/>
  <c r="O26" i="4"/>
  <c r="P26" i="4" s="1"/>
  <c r="S50" i="4"/>
  <c r="K15" i="1"/>
  <c r="J28" i="15"/>
  <c r="L28" i="15" s="1"/>
  <c r="M38" i="4"/>
  <c r="V16" i="4"/>
  <c r="L6" i="6"/>
  <c r="R20" i="4"/>
  <c r="S20" i="4" s="1"/>
  <c r="T20" i="4" s="1"/>
  <c r="U20" i="4" s="1"/>
  <c r="L43" i="4"/>
  <c r="V15" i="4"/>
  <c r="M36" i="4"/>
  <c r="R19" i="4"/>
  <c r="S19" i="4" s="1"/>
  <c r="T19" i="4" s="1"/>
  <c r="U19" i="4" s="1"/>
  <c r="L41" i="4"/>
  <c r="B7" i="10"/>
  <c r="R7" i="6"/>
  <c r="S7" i="6" s="1"/>
  <c r="T7" i="6"/>
  <c r="L14" i="4"/>
  <c r="J37" i="4"/>
  <c r="J18" i="4"/>
  <c r="J28" i="6"/>
  <c r="L28" i="6" s="1"/>
  <c r="R40" i="4"/>
  <c r="T17" i="4"/>
  <c r="U17" i="4" s="1"/>
  <c r="O16" i="8"/>
  <c r="M14" i="8"/>
  <c r="Q32" i="4"/>
  <c r="O28" i="15" l="1"/>
  <c r="W57" i="9"/>
  <c r="Y57" i="9" s="1"/>
  <c r="X57" i="9"/>
  <c r="Q6" i="6"/>
  <c r="P6" i="6"/>
  <c r="T6" i="6" s="1"/>
  <c r="O6" i="6"/>
  <c r="Q52" i="4"/>
  <c r="Q8" i="15"/>
  <c r="O8" i="15"/>
  <c r="U8" i="15"/>
  <c r="T26" i="4"/>
  <c r="T7" i="15"/>
  <c r="H57" i="4"/>
  <c r="J57" i="4" s="1"/>
  <c r="P19" i="15" s="1"/>
  <c r="H56" i="4"/>
  <c r="J56" i="4" s="1"/>
  <c r="P18" i="15" s="1"/>
  <c r="R7" i="15"/>
  <c r="S7" i="15" s="1"/>
  <c r="K12" i="8"/>
  <c r="C28" i="14"/>
  <c r="G28" i="14" s="1"/>
  <c r="O6" i="15"/>
  <c r="Q6" i="15"/>
  <c r="R6" i="15" s="1"/>
  <c r="S6" i="15" s="1"/>
  <c r="O8" i="6"/>
  <c r="C28" i="8" s="1"/>
  <c r="C22" i="8" s="1"/>
  <c r="C42" i="14" s="1"/>
  <c r="G42" i="14" s="1"/>
  <c r="G46" i="14" s="1"/>
  <c r="Q8" i="6"/>
  <c r="U8" i="6" s="1"/>
  <c r="P8" i="6"/>
  <c r="M41" i="4"/>
  <c r="V19" i="4"/>
  <c r="V20" i="4"/>
  <c r="M43" i="4"/>
  <c r="V17" i="4"/>
  <c r="M40" i="4"/>
  <c r="L37" i="4"/>
  <c r="R14" i="4"/>
  <c r="S14" i="4" s="1"/>
  <c r="T14" i="4" s="1"/>
  <c r="U14" i="4" s="1"/>
  <c r="O28" i="6"/>
  <c r="S20" i="8" s="1"/>
  <c r="T28" i="6"/>
  <c r="U28" i="6"/>
  <c r="B19" i="10" s="1"/>
  <c r="J42" i="4"/>
  <c r="L18" i="4"/>
  <c r="C22" i="14" l="1"/>
  <c r="G22" i="14" s="1"/>
  <c r="U6" i="15"/>
  <c r="R8" i="15"/>
  <c r="S8" i="15" s="1"/>
  <c r="D6" i="13" s="1"/>
  <c r="O6" i="13" s="1"/>
  <c r="O11" i="13" s="1"/>
  <c r="T8" i="15"/>
  <c r="Q18" i="15"/>
  <c r="R18" i="15"/>
  <c r="S18" i="15" s="1"/>
  <c r="T18" i="15"/>
  <c r="U18" i="15"/>
  <c r="C24" i="14"/>
  <c r="G24" i="14" s="1"/>
  <c r="I10" i="8"/>
  <c r="T6" i="15"/>
  <c r="Q55" i="4"/>
  <c r="S55" i="4" s="1"/>
  <c r="P21" i="15" s="1"/>
  <c r="Q56" i="4"/>
  <c r="S56" i="4" s="1"/>
  <c r="P22" i="15" s="1"/>
  <c r="R6" i="6"/>
  <c r="S6" i="6" s="1"/>
  <c r="Q19" i="15"/>
  <c r="R19" i="15"/>
  <c r="S19" i="15" s="1"/>
  <c r="T19" i="15"/>
  <c r="U19" i="15"/>
  <c r="U26" i="4"/>
  <c r="Q26" i="4"/>
  <c r="R26" i="4" s="1"/>
  <c r="W26" i="4" s="1"/>
  <c r="T8" i="6"/>
  <c r="R8" i="6"/>
  <c r="S8" i="6" s="1"/>
  <c r="M37" i="4"/>
  <c r="V14" i="4"/>
  <c r="W13" i="4" s="1"/>
  <c r="Q18" i="8"/>
  <c r="R18" i="4"/>
  <c r="S18" i="4" s="1"/>
  <c r="T18" i="4" s="1"/>
  <c r="U18" i="4" s="1"/>
  <c r="L42" i="4"/>
  <c r="B3" i="10" l="1"/>
  <c r="C3" i="10" s="1"/>
  <c r="C4" i="10" s="1"/>
  <c r="C5" i="10" s="1"/>
  <c r="C6" i="10" s="1"/>
  <c r="C7" i="10" s="1"/>
  <c r="C8" i="10" s="1"/>
  <c r="C9" i="10" s="1"/>
  <c r="C10" i="10" s="1"/>
  <c r="C11" i="10" s="1"/>
  <c r="C12" i="10" s="1"/>
  <c r="C13" i="10" s="1"/>
  <c r="C14" i="10" s="1"/>
  <c r="C15" i="10" s="1"/>
  <c r="C16" i="10" s="1"/>
  <c r="C17" i="10" s="1"/>
  <c r="C18" i="10" s="1"/>
  <c r="C19" i="10" s="1"/>
  <c r="C20" i="10" s="1"/>
  <c r="C21" i="10" s="1"/>
  <c r="B31" i="10"/>
  <c r="C31" i="10" s="1"/>
  <c r="T30" i="9"/>
  <c r="T32" i="9"/>
  <c r="Q21" i="15"/>
  <c r="T21" i="15" s="1"/>
  <c r="N35" i="4"/>
  <c r="Y48" i="4"/>
  <c r="Y50" i="4"/>
  <c r="AC50" i="4" s="1"/>
  <c r="Y51" i="4"/>
  <c r="AC51" i="4" s="1"/>
  <c r="Y55" i="4"/>
  <c r="Y58" i="4"/>
  <c r="AC58" i="4" s="1"/>
  <c r="Y56" i="4"/>
  <c r="AC56" i="4" s="1"/>
  <c r="Y49" i="4"/>
  <c r="AC49" i="4" s="1"/>
  <c r="Q22" i="15"/>
  <c r="R22" i="15" s="1"/>
  <c r="S22" i="15" s="1"/>
  <c r="U22" i="15"/>
  <c r="G8" i="8"/>
  <c r="Y57" i="4"/>
  <c r="AC57" i="4" s="1"/>
  <c r="C26" i="14"/>
  <c r="M42" i="4"/>
  <c r="V18" i="4"/>
  <c r="W17" i="4" s="1"/>
  <c r="N40" i="4" s="1"/>
  <c r="C32" i="10" l="1"/>
  <c r="G26" i="14"/>
  <c r="G36" i="14" s="1"/>
  <c r="T22" i="15"/>
  <c r="R21" i="15"/>
  <c r="S21" i="15" s="1"/>
  <c r="U21" i="15"/>
  <c r="Y59" i="4"/>
  <c r="AC55" i="4"/>
  <c r="AC59" i="4" s="1"/>
  <c r="AB62" i="4" s="1"/>
  <c r="Y52" i="4"/>
  <c r="AC48" i="4"/>
  <c r="AC52" i="4" s="1"/>
  <c r="AH53" i="4" s="1"/>
  <c r="U22" i="9"/>
  <c r="C22" i="10"/>
  <c r="T35" i="4"/>
  <c r="P35" i="4"/>
  <c r="C33" i="10" l="1"/>
  <c r="U34" i="9"/>
  <c r="V22" i="9"/>
  <c r="AD67" i="4"/>
  <c r="AF67" i="4" s="1"/>
  <c r="P28" i="15" s="1"/>
  <c r="AD68" i="4"/>
  <c r="AF68" i="4" s="1"/>
  <c r="P30" i="15" s="1"/>
  <c r="AD66" i="4"/>
  <c r="AF66" i="4" s="1"/>
  <c r="P26" i="15" s="1"/>
  <c r="AD65" i="4"/>
  <c r="AF65" i="4" s="1"/>
  <c r="P24" i="15" s="1"/>
  <c r="AJ56" i="4"/>
  <c r="AL56" i="4" s="1"/>
  <c r="P27" i="15" s="1"/>
  <c r="AJ58" i="4"/>
  <c r="AL58" i="4" s="1"/>
  <c r="P29" i="15" s="1"/>
  <c r="AJ57" i="4"/>
  <c r="AL57" i="4" s="1"/>
  <c r="P25" i="15" s="1"/>
  <c r="AJ55" i="4"/>
  <c r="AL55" i="4" s="1"/>
  <c r="P23" i="15" s="1"/>
  <c r="C23" i="10"/>
  <c r="U35" i="4"/>
  <c r="W35" i="4" s="1"/>
  <c r="Q35" i="4"/>
  <c r="P40" i="4"/>
  <c r="T40" i="4"/>
  <c r="C34" i="10" l="1"/>
  <c r="Q23" i="15"/>
  <c r="R23" i="15"/>
  <c r="S23" i="15" s="1"/>
  <c r="T23" i="15"/>
  <c r="U23" i="15"/>
  <c r="Q26" i="15"/>
  <c r="R26" i="15"/>
  <c r="S26" i="15" s="1"/>
  <c r="T26" i="15"/>
  <c r="U26" i="15"/>
  <c r="Q27" i="15"/>
  <c r="R27" i="15" s="1"/>
  <c r="S27" i="15" s="1"/>
  <c r="T27" i="15"/>
  <c r="U27" i="15"/>
  <c r="Q30" i="15"/>
  <c r="T30" i="15" s="1"/>
  <c r="R30" i="15"/>
  <c r="S30" i="15" s="1"/>
  <c r="U30" i="15"/>
  <c r="Q25" i="15"/>
  <c r="R25" i="15" s="1"/>
  <c r="S25" i="15" s="1"/>
  <c r="T25" i="15"/>
  <c r="U25" i="15"/>
  <c r="Q29" i="15"/>
  <c r="R29" i="15" s="1"/>
  <c r="S29" i="15" s="1"/>
  <c r="T29" i="15"/>
  <c r="U29" i="15"/>
  <c r="Q24" i="15"/>
  <c r="R24" i="15"/>
  <c r="S24" i="15" s="1"/>
  <c r="T24" i="15"/>
  <c r="U24" i="15"/>
  <c r="Q28" i="15"/>
  <c r="R28" i="15"/>
  <c r="S28" i="15" s="1"/>
  <c r="T28" i="15"/>
  <c r="U28" i="15"/>
  <c r="V34" i="9"/>
  <c r="C24" i="10"/>
  <c r="U40" i="4"/>
  <c r="W40" i="4" s="1"/>
  <c r="Q40" i="4"/>
  <c r="C35" i="10" l="1"/>
  <c r="C25" i="10"/>
  <c r="C36" i="10" l="1"/>
  <c r="D24" i="10"/>
  <c r="D3" i="10"/>
  <c r="D9" i="10"/>
  <c r="D25" i="10"/>
  <c r="D4" i="10"/>
  <c r="D5" i="10"/>
  <c r="D6" i="10"/>
  <c r="D7" i="10"/>
  <c r="D8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C37" i="10" l="1"/>
  <c r="C38" i="10" l="1"/>
  <c r="C39" i="10" l="1"/>
  <c r="C40" i="10" l="1"/>
  <c r="C41" i="10" l="1"/>
  <c r="D40" i="10"/>
  <c r="D41" i="10" l="1"/>
  <c r="D31" i="10"/>
  <c r="D32" i="10"/>
  <c r="D33" i="10"/>
  <c r="D34" i="10"/>
  <c r="D35" i="10"/>
  <c r="D36" i="10"/>
  <c r="D37" i="10"/>
  <c r="D38" i="10"/>
  <c r="D39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P21" authorId="0" shapeId="0" xr:uid="{5C52CAB8-B8B5-4E80-947A-BC79C97A2FC0}">
      <text>
        <r>
          <rPr>
            <b/>
            <sz val="9"/>
            <color indexed="81"/>
            <rFont val="Tahoma"/>
            <family val="2"/>
          </rPr>
          <t>al netto degli scarti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P21" authorId="0" shapeId="0" xr:uid="{45300B75-D13E-4AF0-A79D-80289EC436F3}">
      <text>
        <r>
          <rPr>
            <b/>
            <sz val="9"/>
            <color indexed="81"/>
            <rFont val="Tahoma"/>
            <family val="2"/>
          </rPr>
          <t>al netto degli scarti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tc={3C443A8E-A849-43E1-B031-0D9A13DF5B4E}</author>
    <author>tc={D0AD8780-CFF4-4B90-8421-9031B8A24BB1}</author>
  </authors>
  <commentList>
    <comment ref="R21" authorId="0" shapeId="0" xr:uid="{3C443A8E-A849-43E1-B031-0D9A13DF5B4E}">
      <text>
        <t>[Threaded comment]
Your version of Excel allows you to read this threaded comment; however, any edits to it will get removed if the file is opened in a newer version of Excel. Learn more: https://go.microsoft.com/fwlink/?linkid=870924
Comment:
    In BM for selective pallet rack (for metal sheets ONLY) both sides of the main aisle will store same amount of load units therefore multiplied stacks by two 
Reply:
    Load units considered for Peak Inventory case</t>
      </text>
    </comment>
    <comment ref="S21" authorId="1" shapeId="0" xr:uid="{D0AD8780-CFF4-4B90-8421-9031B8A24BB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LOAD UNIT COVERS THIS AMOUNT OF AREA
</t>
      </text>
    </comment>
  </commentList>
</comments>
</file>

<file path=xl/sharedStrings.xml><?xml version="1.0" encoding="utf-8"?>
<sst xmlns="http://schemas.openxmlformats.org/spreadsheetml/2006/main" count="1546" uniqueCount="589">
  <si>
    <t>GREEN CELL MUST BE COMPLETED WITH FORMULAS</t>
  </si>
  <si>
    <t>Cm</t>
  </si>
  <si>
    <t>FLAIL MOWER BASE PRODUCTION PER YEAR</t>
  </si>
  <si>
    <t>DAYS PER YEAR</t>
  </si>
  <si>
    <t>Nm</t>
  </si>
  <si>
    <t>FLAIL MOWER BASE PRODUCTION PER DAY</t>
  </si>
  <si>
    <t>DAYS PER MONTH</t>
  </si>
  <si>
    <t>FLAIL MOWER BASE PRODUCTION PER MONTH</t>
  </si>
  <si>
    <t>FLAIL MOWERS TOTAL DEMAND (L=1500 + L=1750)</t>
  </si>
  <si>
    <t>PZ/MONTH</t>
  </si>
  <si>
    <t>HOURS PER DAY</t>
  </si>
  <si>
    <t>HOURS PER MONTH</t>
  </si>
  <si>
    <t>% FLAIL MOWER L=1500</t>
  </si>
  <si>
    <t>% FLAIL MOWER L=1750</t>
  </si>
  <si>
    <t>COD.</t>
  </si>
  <si>
    <t>FLAIL MOWERS WORKCENTERS</t>
  </si>
  <si>
    <t>AVAILABILITY (A)</t>
  </si>
  <si>
    <t>PERFORMANCE
(P)</t>
  </si>
  <si>
    <t>QUALITY
(Q)</t>
  </si>
  <si>
    <t>ASS_FIN</t>
  </si>
  <si>
    <t>FINAL ASSEMBLING</t>
  </si>
  <si>
    <t>WELD</t>
  </si>
  <si>
    <t>WELDING DEPARTMENT</t>
  </si>
  <si>
    <t xml:space="preserve"> </t>
  </si>
  <si>
    <t>PSPG</t>
  </si>
  <si>
    <t>BENDING DEPARTMENT</t>
  </si>
  <si>
    <t>TRNC</t>
  </si>
  <si>
    <t>STAMPING DEPARTMENT</t>
  </si>
  <si>
    <t>REORDER CYCLE  AND SAFETY STOCK OF MATERIALS IN RAW MATERIALS WAREHOUSE</t>
  </si>
  <si>
    <t>REORDER CYCLE [DAYS]</t>
  </si>
  <si>
    <t>SAFETY STOCK
[DAYS]</t>
  </si>
  <si>
    <t>COD</t>
  </si>
  <si>
    <t>LOAD UNIT TYPE</t>
  </si>
  <si>
    <t>DESCRIPTION OF MATERIALS IN LOAD UNIT</t>
  </si>
  <si>
    <t>SIZE
A x B x H</t>
  </si>
  <si>
    <t>PCS/
LOAD UNIT</t>
  </si>
  <si>
    <t>STACK.</t>
  </si>
  <si>
    <t>METAL SHEETS</t>
  </si>
  <si>
    <t>ESTLAM001</t>
  </si>
  <si>
    <t>PALLET</t>
  </si>
  <si>
    <t>METAL SHEET 1500x2000x300</t>
  </si>
  <si>
    <t>1500x2000x300</t>
  </si>
  <si>
    <t>ESTLAM002</t>
  </si>
  <si>
    <t>METAL SHEET 1000x1500x300</t>
  </si>
  <si>
    <t>1000x1500x300</t>
  </si>
  <si>
    <t>GEARS
(CONICAL AND CYLINDRICAL)</t>
  </si>
  <si>
    <t>ESTLAM003</t>
  </si>
  <si>
    <t>METAL SHEET 1000x2000x300</t>
  </si>
  <si>
    <t>1000x2000x300</t>
  </si>
  <si>
    <t>DRIVE SHAFTS</t>
  </si>
  <si>
    <t>ESTING001</t>
  </si>
  <si>
    <t>NORM.</t>
  </si>
  <si>
    <t>CONICAL GEAR</t>
  </si>
  <si>
    <t>800x1000x800</t>
  </si>
  <si>
    <t>ESTING002</t>
  </si>
  <si>
    <t>CYLINDRICAL GEAR</t>
  </si>
  <si>
    <t>COMPLETE SHAFTS WITH HAMMERS</t>
  </si>
  <si>
    <t>RAKE FOR FLAIL MOWERS</t>
  </si>
  <si>
    <t>INTASS001</t>
  </si>
  <si>
    <t>PALLET+BOXES</t>
  </si>
  <si>
    <t>COMPLETE FLAIL MOWER L=1500</t>
  </si>
  <si>
    <t>1500x2000x1000</t>
  </si>
  <si>
    <t>INTASS002</t>
  </si>
  <si>
    <t>COMPLETE FLAIL MOWER L=1750</t>
  </si>
  <si>
    <t>OPERATION</t>
  </si>
  <si>
    <t>BATCH [pcs]</t>
  </si>
  <si>
    <t>SETUP TIME [min]</t>
  </si>
  <si>
    <t>CYCLE TIME [min]</t>
  </si>
  <si>
    <t>INTSAL001</t>
  </si>
  <si>
    <t>SPEC.</t>
  </si>
  <si>
    <t>WELDED FLAIL MOWERS FRAME L=1500</t>
  </si>
  <si>
    <t>1500x2000x2000</t>
  </si>
  <si>
    <t>FLAIL MOWERS ASSEMBLY L=1500</t>
  </si>
  <si>
    <t>INTASS001-10</t>
  </si>
  <si>
    <t>INTSAL002</t>
  </si>
  <si>
    <t>WELDED FLAIL MOWERS FRAME L=1750</t>
  </si>
  <si>
    <t>FLAIL MOWERS ASSEMBLY L=1750</t>
  </si>
  <si>
    <t>INTASS002-10</t>
  </si>
  <si>
    <t>ESTASS003</t>
  </si>
  <si>
    <t>COMPLETE HAMMER SHAFT FOR FLAIL MOWERS L=1500</t>
  </si>
  <si>
    <t>1000x2000x1000</t>
  </si>
  <si>
    <t>WELDING</t>
  </si>
  <si>
    <t>COMPLETE FRAME. FLAIL MOWERS L=1500</t>
  </si>
  <si>
    <t>INTSAL001-10</t>
  </si>
  <si>
    <t>ESTASS004</t>
  </si>
  <si>
    <t>COMPLETE HAMMER SHAFT FOR FLAIL MOWERS L=1750</t>
  </si>
  <si>
    <t>COMPLETE FRAME. FLAIL MOWERS L=1750</t>
  </si>
  <si>
    <t>INTSAL002-10</t>
  </si>
  <si>
    <t>ESTALB001</t>
  </si>
  <si>
    <t>DRIVE SHAFT L=1500</t>
  </si>
  <si>
    <t>460x800x550</t>
  </si>
  <si>
    <t>PRESS.BENDING
AND BLANKING</t>
  </si>
  <si>
    <t>BENDING GUARD L=1500</t>
  </si>
  <si>
    <t>INTPSP001-20</t>
  </si>
  <si>
    <t>ESTALB002</t>
  </si>
  <si>
    <t>DRIVE SHAFT L=1750</t>
  </si>
  <si>
    <t>800x1500x800</t>
  </si>
  <si>
    <t>GUARD STAMPING L=1500</t>
  </si>
  <si>
    <t>INTPSP001-10</t>
  </si>
  <si>
    <t>BENDING GUARD L=1750</t>
  </si>
  <si>
    <t>INTPSP002-20</t>
  </si>
  <si>
    <t>GUARD STAMPING L=1750</t>
  </si>
  <si>
    <t>INTPSP002-10</t>
  </si>
  <si>
    <t>STAMPED GUARD FOR L=1500</t>
  </si>
  <si>
    <t>1500x2000x800</t>
  </si>
  <si>
    <t>BENDING BRACKETS REINFORCEMENT</t>
  </si>
  <si>
    <t>INTPSP003-20</t>
  </si>
  <si>
    <t>INTPSP001</t>
  </si>
  <si>
    <t>BENDED GUARD FOR L=1500</t>
  </si>
  <si>
    <t>BRACKETS REINFORCEMENT STAMPING</t>
  </si>
  <si>
    <t>INTPSP003-10</t>
  </si>
  <si>
    <t>STAMPED GUARD FOR L=1750</t>
  </si>
  <si>
    <t>BENDING BRACKETS HITCH</t>
  </si>
  <si>
    <t>INTPSP004-20</t>
  </si>
  <si>
    <t>INTPSP002</t>
  </si>
  <si>
    <t>BENDED GUARD FOR L=1750</t>
  </si>
  <si>
    <t>BRACKETS HITCH STAMPING</t>
  </si>
  <si>
    <t>INTPSP004-10</t>
  </si>
  <si>
    <t>STAMPED REINFORCEMENT BRACKETS</t>
  </si>
  <si>
    <t>INTPSP003</t>
  </si>
  <si>
    <t>BENDED REINFORCEMENT BRACKETS</t>
  </si>
  <si>
    <t xml:space="preserve">STAMPED TRACTOR HITCH BRACKETS </t>
  </si>
  <si>
    <t>INTPSP004</t>
  </si>
  <si>
    <t>BENDED TRACTOR HITCH BRACKETS</t>
  </si>
  <si>
    <t>BILL OF MATERIALS LEVELS</t>
  </si>
  <si>
    <t>CODE</t>
  </si>
  <si>
    <t>DESCRIPTION</t>
  </si>
  <si>
    <t>USAGE RATE</t>
  </si>
  <si>
    <t>ART</t>
  </si>
  <si>
    <t>FLAIL MOWERS COMPLETE L=1500</t>
  </si>
  <si>
    <t xml:space="preserve">COMPLETE FLAIL MOWERS FRAME L=1500 </t>
  </si>
  <si>
    <t>ESTSAL001</t>
  </si>
  <si>
    <t>COMPLETE RAKE FOR FLAIL MOWERS L=1500</t>
  </si>
  <si>
    <t>GUARD L=1500</t>
  </si>
  <si>
    <t>ESTSAL002</t>
  </si>
  <si>
    <t>COMPLETE RAKE FOR FLAIL MOWERS L=1750</t>
  </si>
  <si>
    <t>METAL SHEET 1500x2000x3</t>
  </si>
  <si>
    <t>REINFORCEMENT BRACKETS</t>
  </si>
  <si>
    <t>SHEET SHEET 1000x1500x3</t>
  </si>
  <si>
    <t>TRACTOR HITCHS PLATES</t>
  </si>
  <si>
    <t>METAL SHEET 1000x2000x3</t>
  </si>
  <si>
    <t>RAKE FOR FLAIL MOWERS L=1500</t>
  </si>
  <si>
    <t>DRIVE SHAFT FOR MACHINES L=1500</t>
  </si>
  <si>
    <t>CONICAL TOOTHED WHEEL</t>
  </si>
  <si>
    <t>CYLINDRICAL TOOTHED WHEEL</t>
  </si>
  <si>
    <t>SHAFT COMPLETE WITH HAMMERS FOR FLAIL MOWERS L=1500</t>
  </si>
  <si>
    <t>COMPLETE FLAIL MOWERS L=1750</t>
  </si>
  <si>
    <t xml:space="preserve">COMPLETE FRAME FOR FLAIL MOWERS L=1750 </t>
  </si>
  <si>
    <t>GUARD L=1750</t>
  </si>
  <si>
    <t>METAL SHEET 1000x1500x3</t>
  </si>
  <si>
    <t>RAKE FOR FLAIL MOWERS L=1750</t>
  </si>
  <si>
    <t>DRIVE SHAFT FOR MACHINE L=1750</t>
  </si>
  <si>
    <t>SHAFT COMPLETE WITH HAMMERS FOR FLAIL MOWERS L=1750</t>
  </si>
  <si>
    <t>PADRE</t>
  </si>
  <si>
    <t>TYPE</t>
  </si>
  <si>
    <t>Q.TY</t>
  </si>
  <si>
    <t>Q.TY WITH SCRAPS</t>
  </si>
  <si>
    <t>(pcs/month)</t>
  </si>
  <si>
    <t>BILL OF MATERIAL LEVELS</t>
  </si>
  <si>
    <t>FATHER</t>
  </si>
  <si>
    <t>PART</t>
  </si>
  <si>
    <t>COMPLETE FLAIL MOWERS L=1500</t>
  </si>
  <si>
    <t>OP</t>
  </si>
  <si>
    <t>COMPLETE FLAIL MOWERS ASSEMBLY L=1500</t>
  </si>
  <si>
    <t>WELDING FRAME WITH TRACTOR HITCHS L=1500</t>
  </si>
  <si>
    <t>GUARD BENDING L=1500</t>
  </si>
  <si>
    <t>REINFORCEMENT BRACKETS BENDING</t>
  </si>
  <si>
    <t>REINFORCEMENT BRACKETS STAMPING</t>
  </si>
  <si>
    <t>TRACTOR HITCH BRACKETS BENDING</t>
  </si>
  <si>
    <t>TRACTOR HITCHS BRACKETS STAMPING</t>
  </si>
  <si>
    <t>COMPLETE SHAFT WITH HAMMERS  FOR FLAIL MOWERS L=1500</t>
  </si>
  <si>
    <t>GESFAN001</t>
  </si>
  <si>
    <t>COMPLETE FLAIL MOWERS ASSEMBLY L=1750</t>
  </si>
  <si>
    <t xml:space="preserve">COMPLETE FLAIL MOWERS FRAME L=1750 </t>
  </si>
  <si>
    <t>WELDING FRAME. WITH TRACTOR HITCHS L=1750</t>
  </si>
  <si>
    <t>GUARD BENDING L=1750</t>
  </si>
  <si>
    <t>COMPLETE SHAFT WITH HAMMERS FOR FLAIL MOWERS L=1750</t>
  </si>
  <si>
    <t>TOTAL Q.TY (L=1500 + L=1750)</t>
  </si>
  <si>
    <t>PCS/MONTH</t>
  </si>
  <si>
    <t>PCS PER DAY</t>
  </si>
  <si>
    <t xml:space="preserve">BATCH
[pcs]
</t>
  </si>
  <si>
    <t xml:space="preserve">SET_UP
[min]
</t>
  </si>
  <si>
    <t xml:space="preserve">TC 
[min/pcs]
</t>
  </si>
  <si>
    <t>T_POT
[min]</t>
  </si>
  <si>
    <t>T_AV
[min]</t>
  </si>
  <si>
    <t>T_setup
[min]</t>
  </si>
  <si>
    <t>T_NET
[min]</t>
  </si>
  <si>
    <t>T_PROD
[min]</t>
  </si>
  <si>
    <t>TAKT
TIME
[min/pcs]</t>
  </si>
  <si>
    <t>THEORETICAL N LINES OR WS</t>
  </si>
  <si>
    <t>ACTUAL N LINES OR WS</t>
  </si>
  <si>
    <t>Q.TY L=1500</t>
  </si>
  <si>
    <t>WORKING DAY PER MONTH</t>
  </si>
  <si>
    <t>Q.TY L=1750</t>
  </si>
  <si>
    <t>MODEL</t>
  </si>
  <si>
    <t>TOTAL</t>
  </si>
  <si>
    <t>L=1500</t>
  </si>
  <si>
    <t>L=1750</t>
  </si>
  <si>
    <t>=</t>
  </si>
  <si>
    <t>BENDING
AND STAMPING</t>
  </si>
  <si>
    <t>ITEM DESCRIPTION</t>
  </si>
  <si>
    <t>CHAINSAW MODEL</t>
  </si>
  <si>
    <t>TOTAL QTY</t>
  </si>
  <si>
    <t>THEORETICAL N WS</t>
  </si>
  <si>
    <t>ACTUL N. LINES
EFFETTIVO</t>
  </si>
  <si>
    <t>ACTUAL N. WS/LINE</t>
  </si>
  <si>
    <t>T_POT Dep</t>
  </si>
  <si>
    <t>T_net Dep</t>
  </si>
  <si>
    <t>A_Dep</t>
  </si>
  <si>
    <t>P</t>
  </si>
  <si>
    <t>SATURAZ%</t>
  </si>
  <si>
    <t>P_Dep</t>
  </si>
  <si>
    <t>Q</t>
  </si>
  <si>
    <t>OEE</t>
  </si>
  <si>
    <t>P=1.2 Kw</t>
  </si>
  <si>
    <t>P=1.8 Kw</t>
  </si>
  <si>
    <t>ACTUAL N. WS</t>
  </si>
  <si>
    <t>BENDING</t>
  </si>
  <si>
    <t>STAMPING</t>
  </si>
  <si>
    <t>Assembly</t>
  </si>
  <si>
    <t>Production per day per machine</t>
  </si>
  <si>
    <t>Run Time</t>
  </si>
  <si>
    <t>Setup Time</t>
  </si>
  <si>
    <t>Welding</t>
  </si>
  <si>
    <t>Prodduction per day per machine</t>
  </si>
  <si>
    <t> </t>
  </si>
  <si>
    <t>Bending</t>
  </si>
  <si>
    <t>REINFORCED BRACKET BENDING</t>
  </si>
  <si>
    <t>PRODUCTION TIME</t>
  </si>
  <si>
    <t>TRACTOR HITCH BRACKET BENDING</t>
  </si>
  <si>
    <t>EPEI</t>
  </si>
  <si>
    <t>EPEI BATCH</t>
  </si>
  <si>
    <t>EPEI BATCH FOR DEMAND</t>
  </si>
  <si>
    <t>GUARD STAMPINGL=1500</t>
  </si>
  <si>
    <t>GUARD STAMPINGL=1750</t>
  </si>
  <si>
    <t>REINFORCED BRACKET STAMPING</t>
  </si>
  <si>
    <t>TRACTOR HITCH BRACKET STAMING</t>
  </si>
  <si>
    <t>MONTHLY LOAD UNITS MOVEMENTS [LOAD UNITS]</t>
  </si>
  <si>
    <r>
      <rPr>
        <b/>
        <sz val="12"/>
        <color theme="1"/>
        <rFont val="Calibri"/>
        <family val="2"/>
        <scheme val="minor"/>
      </rPr>
      <t>FROM</t>
    </r>
    <r>
      <rPr>
        <sz val="11"/>
        <color theme="1"/>
        <rFont val="Calibri"/>
        <family val="2"/>
        <scheme val="minor"/>
      </rPr>
      <t xml:space="preserve"> (row)</t>
    </r>
    <r>
      <rPr>
        <b/>
        <sz val="11"/>
        <color theme="1"/>
        <rFont val="Calibri"/>
        <family val="2"/>
        <scheme val="minor"/>
      </rPr>
      <t xml:space="preserve">  /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2"/>
        <color theme="1"/>
        <rFont val="Calibri"/>
        <family val="2"/>
        <scheme val="minor"/>
      </rPr>
      <t>TO</t>
    </r>
    <r>
      <rPr>
        <sz val="11"/>
        <color theme="1"/>
        <rFont val="Calibri"/>
        <family val="2"/>
        <scheme val="minor"/>
      </rPr>
      <t xml:space="preserve"> (column)</t>
    </r>
  </si>
  <si>
    <t>RM WAREHOUSE</t>
  </si>
  <si>
    <t>FP WAREHOUSE</t>
  </si>
  <si>
    <t>WELDING BUFFER</t>
  </si>
  <si>
    <t>BENDING BUFFER</t>
  </si>
  <si>
    <t>STAMPING BUFFER</t>
  </si>
  <si>
    <t>INPUT PER MONTH [LU/MONTH] 
IN RM WAREHOUSE</t>
  </si>
  <si>
    <t>METAL SHEET</t>
  </si>
  <si>
    <t>GEARS</t>
  </si>
  <si>
    <t>DRIVE SHAFT</t>
  </si>
  <si>
    <t>COMPLETE SHAFT WITH HAMMER  FOR FLAIL MOWERS</t>
  </si>
  <si>
    <t>OUTPUT PER MONTH [LU/MONTH] 
FROM FP WAREHOUSE</t>
  </si>
  <si>
    <t>FLAIL MOWERS L=1500</t>
  </si>
  <si>
    <t>FLAIL MOWERS L=1750</t>
  </si>
  <si>
    <t>Departures from the PF warehouse occur daily. The daily quantity is shipped.</t>
  </si>
  <si>
    <t xml:space="preserve">A similar matrix is constructed with distances (A/R) between departments, travel times, and loading/unloading times. All of this makes it possible to calculate the time for a mission. The time per mission multiplied by the number of missions gives the total time spent on a route. </t>
  </si>
  <si>
    <t>For dock (and reception area) sizing, the worst-case situation is considered in which all component families are received on the same day for the quantities of their respective coverage days</t>
  </si>
  <si>
    <t>For dock (and shipping area) sizing, the number of daily UDCs is calculated</t>
  </si>
  <si>
    <t>SAFETY STOCK</t>
  </si>
  <si>
    <r>
      <t xml:space="preserve">MONTHLY REQUIREMENTS
</t>
    </r>
    <r>
      <rPr>
        <sz val="12"/>
        <color theme="1"/>
        <rFont val="Calibri"/>
        <family val="2"/>
        <scheme val="minor"/>
      </rPr>
      <t>(LOAD UNITS MOVED IN A MONTH)</t>
    </r>
  </si>
  <si>
    <t>STORAGE CAPACITY OF WAREHOUSES AND BUFFERS
(PEAK INVENTORY)</t>
  </si>
  <si>
    <t>HOURS PER DATY</t>
  </si>
  <si>
    <t>PCS/LU</t>
  </si>
  <si>
    <t>NUM.
LU</t>
  </si>
  <si>
    <t>BATCH</t>
  </si>
  <si>
    <t>AV. INVENTORY (DAYS)</t>
  </si>
  <si>
    <t>TURNOVER INDEX</t>
  </si>
  <si>
    <t>ITEMS IN RAW MATERIALS WAREHOUSE</t>
  </si>
  <si>
    <t>ITEMS IN PRODUCTS WAREHOUSE</t>
  </si>
  <si>
    <t>ITEMS IN INTERMEDIATE BUFFERS</t>
  </si>
  <si>
    <t>STAMPED GUARD  L=1500</t>
  </si>
  <si>
    <t>STAMPED GUARD  L=1750</t>
  </si>
  <si>
    <t>STAMPED TRACTOR HITCHS BRACKETS</t>
  </si>
  <si>
    <t xml:space="preserve"> PLANT ABC ANALYSIS</t>
  </si>
  <si>
    <t>Components</t>
  </si>
  <si>
    <t>Turnover Index</t>
  </si>
  <si>
    <t>Cummilative Turnover Index</t>
  </si>
  <si>
    <t>Cummilative Turnover Index (%)</t>
  </si>
  <si>
    <t>RAW MATERIAL WAREHOUSE ABC ANALYSIS</t>
  </si>
  <si>
    <t>STAMPING BUFFER WAREHOUSE ABC ANALYSIS</t>
  </si>
  <si>
    <t>BENDING BUFFER WAREHOUSE ABC ANALYSIS</t>
  </si>
  <si>
    <t>WELDING BUFFER WAREHOUSE ABC ANALYSIS</t>
  </si>
  <si>
    <t>Reorder Cycle</t>
  </si>
  <si>
    <t>Safety Stock Cycle</t>
  </si>
  <si>
    <t>Shipping Frequency</t>
  </si>
  <si>
    <t>Receiving area calculation</t>
  </si>
  <si>
    <t>Step 1</t>
  </si>
  <si>
    <t>Step 2</t>
  </si>
  <si>
    <t>Lorry volume</t>
  </si>
  <si>
    <t>FEU</t>
  </si>
  <si>
    <t>m3</t>
  </si>
  <si>
    <t>monday</t>
  </si>
  <si>
    <t>Receiving timetable</t>
  </si>
  <si>
    <t>Lu</t>
  </si>
  <si>
    <t>Finding worst case scenario</t>
  </si>
  <si>
    <t>size</t>
  </si>
  <si>
    <t>1*2*1</t>
  </si>
  <si>
    <t>0.8x1x0.8</t>
  </si>
  <si>
    <t>LU received</t>
  </si>
  <si>
    <t>Interval</t>
  </si>
  <si>
    <t>Total volume</t>
  </si>
  <si>
    <t>Monday</t>
  </si>
  <si>
    <t>Volume</t>
  </si>
  <si>
    <t>Tuesday</t>
  </si>
  <si>
    <t>Wednesday</t>
  </si>
  <si>
    <t>Thursday</t>
  </si>
  <si>
    <t>Friday</t>
  </si>
  <si>
    <t>Lu/LENGTH</t>
  </si>
  <si>
    <t>FM</t>
  </si>
  <si>
    <t>Lu/width</t>
  </si>
  <si>
    <t>Lu/height</t>
  </si>
  <si>
    <t>Lu/truck</t>
  </si>
  <si>
    <t>Truck/day</t>
  </si>
  <si>
    <t>RT</t>
  </si>
  <si>
    <t>Sum(total load units received daily)</t>
  </si>
  <si>
    <t>total/day</t>
  </si>
  <si>
    <t>truck/hour</t>
  </si>
  <si>
    <t>take 3</t>
  </si>
  <si>
    <t>COMPLETE SHAFTS WITH HOES</t>
  </si>
  <si>
    <t>Docks</t>
  </si>
  <si>
    <t>Step 3</t>
  </si>
  <si>
    <t>Calculating with worst case scenario(Greatest LU number)</t>
  </si>
  <si>
    <t>Lu/day</t>
  </si>
  <si>
    <t>Lu/hour</t>
  </si>
  <si>
    <t>ts</t>
  </si>
  <si>
    <t>min</t>
  </si>
  <si>
    <t>hr</t>
  </si>
  <si>
    <t>loading/unloading time</t>
  </si>
  <si>
    <t>tm</t>
  </si>
  <si>
    <t>handling time inside warehouse</t>
  </si>
  <si>
    <t>Truck volume</t>
  </si>
  <si>
    <t>N.o trucks/day</t>
  </si>
  <si>
    <t>trucks/day</t>
  </si>
  <si>
    <t>Max size Lu</t>
  </si>
  <si>
    <t>1x2x1</t>
  </si>
  <si>
    <t>Oversizing with the max LU dimension</t>
  </si>
  <si>
    <t xml:space="preserve">M </t>
  </si>
  <si>
    <t>trucks/hour</t>
  </si>
  <si>
    <t>(Taken from Wednesday calculation)</t>
  </si>
  <si>
    <t>LU/hour</t>
  </si>
  <si>
    <t>N.o docks</t>
  </si>
  <si>
    <t>docks</t>
  </si>
  <si>
    <t>Area</t>
  </si>
  <si>
    <t>m2</t>
  </si>
  <si>
    <t>Buffer area per each dock</t>
  </si>
  <si>
    <t>We choose the 90 degree parking</t>
  </si>
  <si>
    <t>N.O  docks</t>
  </si>
  <si>
    <t>Width of truck</t>
  </si>
  <si>
    <t>m</t>
  </si>
  <si>
    <t>Clearance</t>
  </si>
  <si>
    <t>(clearance on each side)</t>
  </si>
  <si>
    <t xml:space="preserve">Width of dock </t>
  </si>
  <si>
    <t>Shipping area calculation</t>
  </si>
  <si>
    <t>FEU lorry</t>
  </si>
  <si>
    <t>Lu shipped</t>
  </si>
  <si>
    <t>Calculation for total LU</t>
  </si>
  <si>
    <t>LU/day</t>
  </si>
  <si>
    <t>Q(hour)</t>
  </si>
  <si>
    <t>Truck V</t>
  </si>
  <si>
    <t>Max Lu size</t>
  </si>
  <si>
    <t>1.5x2x1</t>
  </si>
  <si>
    <t>N.o trucks</t>
  </si>
  <si>
    <t>Trucks/day</t>
  </si>
  <si>
    <t>Buffer area</t>
  </si>
  <si>
    <t>FLAIL MOWER</t>
  </si>
  <si>
    <t>PREC.</t>
  </si>
  <si>
    <t>MIN.</t>
  </si>
  <si>
    <t>Task</t>
  </si>
  <si>
    <t>Task Time</t>
  </si>
  <si>
    <t>RPW</t>
  </si>
  <si>
    <t>Set of Successors</t>
  </si>
  <si>
    <t>A</t>
  </si>
  <si>
    <t>Take frame assembly from load unit and place on equipment</t>
  </si>
  <si>
    <t>-</t>
  </si>
  <si>
    <t>B,C,D,E,F,G,H,I,L,M,N,O</t>
  </si>
  <si>
    <t>B</t>
  </si>
  <si>
    <t>Take drive shaft supports and secure on chassis</t>
  </si>
  <si>
    <t>I</t>
  </si>
  <si>
    <t>L,M,O</t>
  </si>
  <si>
    <t>C</t>
  </si>
  <si>
    <t>Take gear box and fasten on chassis</t>
  </si>
  <si>
    <t>D,E,F,O</t>
  </si>
  <si>
    <t>D</t>
  </si>
  <si>
    <t>Take scrapers and fasten on gear box</t>
  </si>
  <si>
    <t>E, F, O</t>
  </si>
  <si>
    <t>E</t>
  </si>
  <si>
    <t>Take bevel gear pair and assemble within box</t>
  </si>
  <si>
    <t>G</t>
  </si>
  <si>
    <t>H,N,O</t>
  </si>
  <si>
    <t>F</t>
  </si>
  <si>
    <t xml:space="preserve">Take drive shaft and assemble </t>
  </si>
  <si>
    <t>E,B</t>
  </si>
  <si>
    <t>L</t>
  </si>
  <si>
    <t>M,O</t>
  </si>
  <si>
    <t xml:space="preserve">Take frame side closure and assemble </t>
  </si>
  <si>
    <t>H</t>
  </si>
  <si>
    <t>N,O</t>
  </si>
  <si>
    <t>Take out gears and mount on frame side closure</t>
  </si>
  <si>
    <t>F, O</t>
  </si>
  <si>
    <t>Take shaft with hammers and assemble on frame</t>
  </si>
  <si>
    <t>Remove hammers cover and assemble on frame</t>
  </si>
  <si>
    <t>O</t>
  </si>
  <si>
    <t>M</t>
  </si>
  <si>
    <t>Pick up register hammer cover and assemble on frame</t>
  </si>
  <si>
    <t>N</t>
  </si>
  <si>
    <t>Remove side gear cover and assemble on frame</t>
  </si>
  <si>
    <t>Take complete flail mower and lay down in load unit</t>
  </si>
  <si>
    <t>F,N,M</t>
  </si>
  <si>
    <t>NONE</t>
  </si>
  <si>
    <t>AN ASSEMBLING DIAGRAM MUST BE DRAWN, ACCORDING TO PRECEEDINGS AND FOLLOWINGS</t>
  </si>
  <si>
    <t>OP_10</t>
  </si>
  <si>
    <t>OP_20</t>
  </si>
  <si>
    <t>OP_30</t>
  </si>
  <si>
    <t>OP_40</t>
  </si>
  <si>
    <t>Total</t>
  </si>
  <si>
    <t>AREA CALCULATION FOR RAW MATERIALS LOAD UNIT SIZE (RM)</t>
  </si>
  <si>
    <t>SIZE A</t>
  </si>
  <si>
    <t>SIZE B</t>
  </si>
  <si>
    <t>SIZE H</t>
  </si>
  <si>
    <t>MAIN AISLE WIDTH</t>
  </si>
  <si>
    <t>mm</t>
  </si>
  <si>
    <t>RM to STAMP</t>
  </si>
  <si>
    <t>RM to WELDING</t>
  </si>
  <si>
    <t>RM to ASSEM</t>
  </si>
  <si>
    <t>SECONDARY AISLE WIDTH</t>
  </si>
  <si>
    <t>LOCATION SIZE CALCULATION FOR RAW MATERIALS WAREHOUSE (RM) (A+100 B+100 H+150)</t>
  </si>
  <si>
    <t>STORAGE TYPE</t>
  </si>
  <si>
    <t>AREA FOR BASIC MODULUS (BM) (m^2)</t>
  </si>
  <si>
    <t>Nlev,fork</t>
  </si>
  <si>
    <t>Nlev,building</t>
  </si>
  <si>
    <t xml:space="preserve">NUMBER OF SHELVING LEVELS </t>
  </si>
  <si>
    <t>NUMBER OF LOAD UNITS/BM</t>
  </si>
  <si>
    <t>FOOTPRINT</t>
  </si>
  <si>
    <t>STORAGE AREA (m^2)</t>
  </si>
  <si>
    <t>U</t>
  </si>
  <si>
    <t>V</t>
  </si>
  <si>
    <t>SELECTIVE PALLET RACKING</t>
  </si>
  <si>
    <t>COMPLETE HAMMER SHAFT FOR FLAIL MOWERS L=1500</t>
    <phoneticPr fontId="0" type="noConversion"/>
  </si>
  <si>
    <t>Uactual</t>
    <phoneticPr fontId="25" type="noConversion"/>
  </si>
  <si>
    <t>Vactual</t>
    <phoneticPr fontId="25" type="noConversion"/>
  </si>
  <si>
    <t>FORKLIFT HEIGHT (m)</t>
  </si>
  <si>
    <t>BUILDING HEIGHT (m)</t>
  </si>
  <si>
    <t>LOCATION SIZE CALCULATION FOR STAMPING BUFFER WAREHOUSE (SB) (A+100 B+100 H+150)</t>
  </si>
  <si>
    <t>PCS/</t>
  </si>
  <si>
    <t># OF LOCATIONS PER RACK</t>
  </si>
  <si>
    <t># OF FORKLIFT LEVELS</t>
  </si>
  <si>
    <t># OF BUILDING LEVELS</t>
  </si>
  <si>
    <t>NUMBER OF SHELVING LEVELS</t>
  </si>
  <si>
    <t>LOAD UNIT</t>
  </si>
  <si>
    <t>Stamped Guard L=1500</t>
  </si>
  <si>
    <t>DRIVE-THRU</t>
  </si>
  <si>
    <t>Stamped Guard L=1750</t>
  </si>
  <si>
    <t>Stamped REINFORCEMENT BRACKETS</t>
  </si>
  <si>
    <t>Stamped TRACTOR HITCHS PLATES</t>
  </si>
  <si>
    <t>LOCATION SIZE CALCULATION FOR BENDING BUFFER WAREHOUSE (BB) (A+100 B+100 H+150)</t>
  </si>
  <si>
    <t>Guard L=1500</t>
  </si>
  <si>
    <t>Guard L=1750</t>
  </si>
  <si>
    <t>LOCATION SIZE CALCULATION FOR WELDING BUFFER WAREHOUSE (WB) (A+100 B+100 H+150)</t>
  </si>
  <si>
    <t>LOCATION SIZE CALCULATION FOR FINAL PRODUCT WAREHOUSE (FP) (A+100 B+100 H+150)</t>
  </si>
  <si>
    <t># OF LOCATIONS PER BASIC MODULUS</t>
  </si>
  <si>
    <t>LIVE STORAGE</t>
  </si>
  <si>
    <t>SECTIONS</t>
  </si>
  <si>
    <t>height</t>
  </si>
  <si>
    <t>Superposability</t>
  </si>
  <si>
    <t>Hlo</t>
  </si>
  <si>
    <t>N.Lev</t>
  </si>
  <si>
    <t>Raw Materials</t>
  </si>
  <si>
    <t>CONSTANTS</t>
  </si>
  <si>
    <t>Lift height(m)</t>
  </si>
  <si>
    <t>Products Warehouse</t>
  </si>
  <si>
    <t>Fixed time (s)</t>
  </si>
  <si>
    <t>Secs/mo</t>
  </si>
  <si>
    <t>Intermediate Buffer</t>
  </si>
  <si>
    <t>k</t>
  </si>
  <si>
    <t>lifting speed</t>
  </si>
  <si>
    <t>lowering speed</t>
  </si>
  <si>
    <t>weighted average</t>
  </si>
  <si>
    <t>traveling speed</t>
  </si>
  <si>
    <t>MOVEMENTS</t>
  </si>
  <si>
    <t>LU/mo</t>
  </si>
  <si>
    <t>N_forklifts</t>
  </si>
  <si>
    <t>average speed</t>
  </si>
  <si>
    <t xml:space="preserve">RM warehouse -  Final Assembly </t>
  </si>
  <si>
    <t>(between lifting and lowering)</t>
  </si>
  <si>
    <t xml:space="preserve">RM warehouse -  Welding </t>
  </si>
  <si>
    <t xml:space="preserve">we decided to use the average speed between lifting and lowering in our calculations </t>
  </si>
  <si>
    <t>Rm Warehouse-Stamping</t>
  </si>
  <si>
    <t>Stamping-Stamping Buffer</t>
  </si>
  <si>
    <t>Stamping Buffer - Bending Buffer</t>
  </si>
  <si>
    <t>+1000 is an approximation distance (more efficient)</t>
  </si>
  <si>
    <t>Bending Buffer - Welding</t>
  </si>
  <si>
    <t>Welding - Welding Buffer</t>
  </si>
  <si>
    <t xml:space="preserve">Welding Buffer - Final Assembly </t>
  </si>
  <si>
    <t>Final Assembly - FP warehouse</t>
  </si>
  <si>
    <t>since we have two warehouses for the flail mower we will take the furthest in order to calculate the worst case senario)</t>
  </si>
  <si>
    <t>TOTAL FORKLIFTS</t>
  </si>
  <si>
    <t>recieving - RM stamping</t>
  </si>
  <si>
    <t>recieving -  RM assembly</t>
  </si>
  <si>
    <t>recieving - welding RM</t>
  </si>
  <si>
    <t xml:space="preserve">FP - shipping </t>
  </si>
  <si>
    <t>forklifts</t>
  </si>
  <si>
    <t>total number of forklifts for flail</t>
  </si>
  <si>
    <t>number of forklifts</t>
  </si>
  <si>
    <t>Rotary tiller</t>
  </si>
  <si>
    <t>Sequential lifting</t>
  </si>
  <si>
    <t>Number of Tasks</t>
  </si>
  <si>
    <t>Height pallet</t>
  </si>
  <si>
    <t>Parts per minute</t>
  </si>
  <si>
    <t>x/min</t>
  </si>
  <si>
    <t>Liftings per Minute</t>
  </si>
  <si>
    <t>v/min</t>
  </si>
  <si>
    <t>Load Constant for a man</t>
  </si>
  <si>
    <t>kg</t>
  </si>
  <si>
    <t>Data</t>
  </si>
  <si>
    <t>LEVEL</t>
  </si>
  <si>
    <t>FMMAX</t>
  </si>
  <si>
    <t>level</t>
  </si>
  <si>
    <t>LC</t>
  </si>
  <si>
    <t>Fmax</t>
  </si>
  <si>
    <t>Duration</t>
  </si>
  <si>
    <t>Poor</t>
  </si>
  <si>
    <t>poor</t>
  </si>
  <si>
    <t>Calculating RWL</t>
  </si>
  <si>
    <t>Lowering</t>
  </si>
  <si>
    <t>VM</t>
  </si>
  <si>
    <t>DM</t>
  </si>
  <si>
    <t>HM</t>
  </si>
  <si>
    <t>AM</t>
  </si>
  <si>
    <t>CM</t>
  </si>
  <si>
    <t>RWL</t>
  </si>
  <si>
    <t>LI</t>
  </si>
  <si>
    <t>PAV</t>
  </si>
  <si>
    <t>Calculating RWL max</t>
  </si>
  <si>
    <t>FM max</t>
  </si>
  <si>
    <t>LI MAX</t>
  </si>
  <si>
    <t>RANKED LI MAX</t>
  </si>
  <si>
    <t>TIME FRACTION</t>
  </si>
  <si>
    <t>pav</t>
  </si>
  <si>
    <t>LIMAX</t>
  </si>
  <si>
    <t>RANKING</t>
  </si>
  <si>
    <t>Level</t>
  </si>
  <si>
    <t>Pav</t>
  </si>
  <si>
    <t>DURATION</t>
  </si>
  <si>
    <t>FT</t>
  </si>
  <si>
    <t>SLI</t>
  </si>
  <si>
    <t>TF</t>
  </si>
  <si>
    <t>DELTA K</t>
  </si>
  <si>
    <t>ISCS</t>
  </si>
  <si>
    <t>Zone</t>
  </si>
  <si>
    <t>UNIT</t>
  </si>
  <si>
    <t>LENGTH</t>
  </si>
  <si>
    <t>WIDTH</t>
  </si>
  <si>
    <t>Numbers</t>
  </si>
  <si>
    <t>Office Area Breakdown</t>
  </si>
  <si>
    <t>Number of Offices</t>
  </si>
  <si>
    <t>Equipment and Maintenance</t>
  </si>
  <si>
    <t>m^2</t>
  </si>
  <si>
    <t>Supervisors office</t>
  </si>
  <si>
    <t>Technical Island</t>
  </si>
  <si>
    <t>Other offices</t>
  </si>
  <si>
    <t>Entrance</t>
  </si>
  <si>
    <t>Refreshment Area</t>
  </si>
  <si>
    <t>Infirmary</t>
  </si>
  <si>
    <t>Toilet Breakdown</t>
  </si>
  <si>
    <t>Food Court</t>
  </si>
  <si>
    <t>Floor workers</t>
  </si>
  <si>
    <t>Department/Line Supervisor Offices</t>
  </si>
  <si>
    <t>m^2/employee</t>
  </si>
  <si>
    <t>Other workers</t>
  </si>
  <si>
    <t>Changing Rooms</t>
  </si>
  <si>
    <t>Toilets</t>
  </si>
  <si>
    <t>4*3 for one</t>
  </si>
  <si>
    <t>Canteen</t>
  </si>
  <si>
    <t>Total area for changing room and toilets</t>
  </si>
  <si>
    <t>forklift Charging Areas</t>
  </si>
  <si>
    <t>m^2/forklift</t>
  </si>
  <si>
    <t>Number of Workers</t>
  </si>
  <si>
    <t>Forklift Drivers</t>
  </si>
  <si>
    <t>Hand Truck Operators</t>
  </si>
  <si>
    <t>Total Stamping Stations</t>
  </si>
  <si>
    <t>Total Bending Stations</t>
  </si>
  <si>
    <t>Total Welding Stations</t>
  </si>
  <si>
    <t>Total Assembling Stations</t>
  </si>
  <si>
    <t>Total Supervisors 1 shift</t>
  </si>
  <si>
    <t>Total Supervisors 2 shifts</t>
  </si>
  <si>
    <t>Total Workers 1 shift</t>
  </si>
  <si>
    <t>Total Workers 2 shifts</t>
  </si>
  <si>
    <t>Total Employees 1 shift</t>
  </si>
  <si>
    <t>Total Employees 2 shifts</t>
  </si>
  <si>
    <t>Total Staff</t>
  </si>
  <si>
    <t>Total Staff - 1shift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</si>
</sst>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_ ;\-0.00\ "/>
    <numFmt numFmtId="165" formatCode="0.0%"/>
    <numFmt numFmtId="166" formatCode="0.0"/>
    <numFmt numFmtId="167" formatCode="0.000"/>
  </numFmts>
  <fonts count="4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8"/>
      <name val="Calibri"/>
      <family val="3"/>
      <charset val="129"/>
      <scheme val="minor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  <scheme val="minor"/>
    </font>
    <font>
      <b/>
      <sz val="11"/>
      <color theme="1"/>
      <name val="Calibri"/>
      <family val="3"/>
      <charset val="129"/>
      <scheme val="minor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2"/>
      <name val="Calibri"/>
      <family val="2"/>
    </font>
    <font>
      <sz val="11"/>
      <color rgb="FF242424"/>
      <name val="Aptos Narrow"/>
    </font>
    <font>
      <sz val="11"/>
      <color rgb="FF000000"/>
      <name val="Aptos Narrow"/>
    </font>
    <font>
      <sz val="11"/>
      <color rgb="FFFF0000"/>
      <name val="Aptos Narrow"/>
    </font>
    <font>
      <sz val="11"/>
      <name val="Aptos Narrow"/>
    </font>
    <font>
      <sz val="8"/>
      <color rgb="FF000000"/>
      <name val="Aptos Narrow"/>
    </font>
    <font>
      <sz val="16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3CCEB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2F75B5"/>
        <bgColor rgb="FFF4B083"/>
      </patternFill>
    </fill>
    <fill>
      <patternFill patternType="solid">
        <fgColor rgb="FFBDD7EE"/>
        <bgColor rgb="FFFBE4D5"/>
      </patternFill>
    </fill>
  </fills>
  <borders count="10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</borders>
  <cellStyleXfs count="4">
    <xf numFmtId="0" fontId="0" fillId="0" borderId="0"/>
    <xf numFmtId="9" fontId="16" fillId="0" borderId="0" applyFont="0" applyFill="0" applyBorder="0" applyAlignment="0" applyProtection="0"/>
    <xf numFmtId="0" fontId="21" fillId="11" borderId="0" applyNumberFormat="0" applyBorder="0" applyAlignment="0" applyProtection="0"/>
    <xf numFmtId="0" fontId="16" fillId="0" borderId="0"/>
  </cellStyleXfs>
  <cellXfs count="625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/>
    <xf numFmtId="49" fontId="0" fillId="0" borderId="0" xfId="0" applyNumberFormat="1" applyAlignment="1">
      <alignment horizontal="center" vertical="center"/>
    </xf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 textRotation="90" wrapText="1"/>
    </xf>
    <xf numFmtId="0" fontId="0" fillId="0" borderId="1" xfId="0" applyBorder="1"/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0" xfId="0" applyAlignment="1">
      <alignment wrapText="1"/>
    </xf>
    <xf numFmtId="9" fontId="0" fillId="0" borderId="0" xfId="0" applyNumberFormat="1"/>
    <xf numFmtId="0" fontId="1" fillId="0" borderId="0" xfId="0" applyFont="1" applyAlignment="1">
      <alignment vertical="center"/>
    </xf>
    <xf numFmtId="9" fontId="0" fillId="0" borderId="0" xfId="0" applyNumberForma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/>
    <xf numFmtId="2" fontId="0" fillId="0" borderId="1" xfId="0" applyNumberFormat="1" applyBorder="1"/>
    <xf numFmtId="0" fontId="1" fillId="0" borderId="22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165" fontId="1" fillId="0" borderId="6" xfId="0" applyNumberFormat="1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23" xfId="0" applyBorder="1" applyAlignment="1">
      <alignment vertical="center"/>
    </xf>
    <xf numFmtId="3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/>
    <xf numFmtId="0" fontId="3" fillId="2" borderId="1" xfId="0" applyFont="1" applyFill="1" applyBorder="1"/>
    <xf numFmtId="3" fontId="1" fillId="0" borderId="1" xfId="0" applyNumberFormat="1" applyFont="1" applyBorder="1"/>
    <xf numFmtId="9" fontId="0" fillId="0" borderId="0" xfId="0" applyNumberFormat="1" applyAlignment="1">
      <alignment vertical="center"/>
    </xf>
    <xf numFmtId="2" fontId="0" fillId="0" borderId="27" xfId="0" applyNumberFormat="1" applyBorder="1" applyAlignment="1">
      <alignment vertical="center"/>
    </xf>
    <xf numFmtId="3" fontId="1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/>
    <xf numFmtId="0" fontId="9" fillId="0" borderId="28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2" fontId="12" fillId="0" borderId="16" xfId="0" applyNumberFormat="1" applyFont="1" applyBorder="1" applyAlignment="1">
      <alignment horizontal="center" vertical="center"/>
    </xf>
    <xf numFmtId="2" fontId="12" fillId="0" borderId="16" xfId="0" quotePrefix="1" applyNumberFormat="1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2" fontId="12" fillId="0" borderId="19" xfId="0" applyNumberFormat="1" applyFont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3" fontId="0" fillId="8" borderId="0" xfId="0" applyNumberFormat="1" applyFill="1" applyAlignment="1">
      <alignment horizontal="center" vertical="center"/>
    </xf>
    <xf numFmtId="1" fontId="0" fillId="8" borderId="0" xfId="0" applyNumberForma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165" fontId="0" fillId="8" borderId="1" xfId="0" applyNumberFormat="1" applyFill="1" applyBorder="1"/>
    <xf numFmtId="3" fontId="0" fillId="8" borderId="1" xfId="0" applyNumberFormat="1" applyFill="1" applyBorder="1"/>
    <xf numFmtId="0" fontId="0" fillId="8" borderId="1" xfId="0" applyFill="1" applyBorder="1"/>
    <xf numFmtId="2" fontId="0" fillId="8" borderId="1" xfId="0" applyNumberFormat="1" applyFill="1" applyBorder="1"/>
    <xf numFmtId="2" fontId="0" fillId="8" borderId="1" xfId="0" applyNumberFormat="1" applyFill="1" applyBorder="1" applyAlignment="1">
      <alignment horizontal="center" vertical="center"/>
    </xf>
    <xf numFmtId="3" fontId="0" fillId="8" borderId="1" xfId="0" applyNumberFormat="1" applyFill="1" applyBorder="1" applyAlignment="1">
      <alignment horizontal="center"/>
    </xf>
    <xf numFmtId="0" fontId="0" fillId="0" borderId="7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8" borderId="1" xfId="0" applyFill="1" applyBorder="1" applyAlignment="1">
      <alignment horizontal="center"/>
    </xf>
    <xf numFmtId="1" fontId="0" fillId="8" borderId="1" xfId="0" applyNumberFormat="1" applyFill="1" applyBorder="1" applyAlignment="1">
      <alignment horizontal="center"/>
    </xf>
    <xf numFmtId="166" fontId="0" fillId="8" borderId="1" xfId="0" applyNumberFormat="1" applyFill="1" applyBorder="1" applyAlignment="1">
      <alignment horizontal="center" vertical="center"/>
    </xf>
    <xf numFmtId="1" fontId="0" fillId="8" borderId="1" xfId="0" applyNumberFormat="1" applyFill="1" applyBorder="1" applyAlignment="1">
      <alignment horizontal="center" vertical="center"/>
    </xf>
    <xf numFmtId="2" fontId="12" fillId="8" borderId="1" xfId="0" applyNumberFormat="1" applyFont="1" applyFill="1" applyBorder="1" applyAlignment="1">
      <alignment horizontal="center" vertical="center"/>
    </xf>
    <xf numFmtId="2" fontId="12" fillId="8" borderId="1" xfId="0" applyNumberFormat="1" applyFont="1" applyFill="1" applyBorder="1" applyAlignment="1">
      <alignment horizontal="center" vertical="center" wrapText="1"/>
    </xf>
    <xf numFmtId="2" fontId="9" fillId="8" borderId="1" xfId="0" applyNumberFormat="1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0" fillId="0" borderId="1" xfId="0" applyBorder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18" fillId="8" borderId="1" xfId="0" applyFont="1" applyFill="1" applyBorder="1" applyAlignment="1">
      <alignment horizontal="center"/>
    </xf>
    <xf numFmtId="3" fontId="0" fillId="0" borderId="1" xfId="0" applyNumberFormat="1" applyBorder="1"/>
    <xf numFmtId="0" fontId="12" fillId="0" borderId="1" xfId="0" applyFont="1" applyBorder="1" applyAlignment="1">
      <alignment horizontal="center"/>
    </xf>
    <xf numFmtId="2" fontId="0" fillId="8" borderId="1" xfId="0" applyNumberFormat="1" applyFill="1" applyBorder="1" applyAlignment="1">
      <alignment vertical="center"/>
    </xf>
    <xf numFmtId="2" fontId="1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3" fontId="18" fillId="8" borderId="1" xfId="0" applyNumberFormat="1" applyFont="1" applyFill="1" applyBorder="1" applyAlignment="1">
      <alignment horizontal="center"/>
    </xf>
    <xf numFmtId="3" fontId="0" fillId="10" borderId="1" xfId="0" applyNumberFormat="1" applyFill="1" applyBorder="1"/>
    <xf numFmtId="0" fontId="12" fillId="8" borderId="1" xfId="0" applyFont="1" applyFill="1" applyBorder="1" applyAlignment="1">
      <alignment horizontal="left"/>
    </xf>
    <xf numFmtId="0" fontId="12" fillId="0" borderId="1" xfId="0" applyFont="1" applyBorder="1" applyAlignment="1">
      <alignment horizontal="left"/>
    </xf>
    <xf numFmtId="1" fontId="0" fillId="10" borderId="1" xfId="0" applyNumberFormat="1" applyFill="1" applyBorder="1" applyAlignment="1">
      <alignment horizontal="center"/>
    </xf>
    <xf numFmtId="166" fontId="0" fillId="10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2" fontId="12" fillId="8" borderId="16" xfId="0" applyNumberFormat="1" applyFont="1" applyFill="1" applyBorder="1" applyAlignment="1">
      <alignment horizontal="center" vertical="center"/>
    </xf>
    <xf numFmtId="2" fontId="12" fillId="8" borderId="16" xfId="0" quotePrefix="1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4" fillId="0" borderId="0" xfId="0" applyFont="1"/>
    <xf numFmtId="0" fontId="1" fillId="0" borderId="53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  <xf numFmtId="0" fontId="0" fillId="0" borderId="56" xfId="0" applyBorder="1"/>
    <xf numFmtId="0" fontId="0" fillId="0" borderId="57" xfId="0" applyBorder="1"/>
    <xf numFmtId="0" fontId="0" fillId="0" borderId="59" xfId="0" applyBorder="1"/>
    <xf numFmtId="0" fontId="0" fillId="0" borderId="60" xfId="0" applyBorder="1"/>
    <xf numFmtId="2" fontId="0" fillId="0" borderId="57" xfId="1" applyNumberFormat="1" applyFont="1" applyBorder="1"/>
    <xf numFmtId="0" fontId="1" fillId="0" borderId="54" xfId="0" applyFont="1" applyBorder="1" applyAlignment="1">
      <alignment horizontal="center" vertical="center"/>
    </xf>
    <xf numFmtId="0" fontId="0" fillId="0" borderId="55" xfId="0" applyBorder="1"/>
    <xf numFmtId="0" fontId="1" fillId="0" borderId="53" xfId="0" applyFont="1" applyBorder="1" applyAlignment="1">
      <alignment horizontal="center" vertical="center"/>
    </xf>
    <xf numFmtId="0" fontId="21" fillId="11" borderId="57" xfId="2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21" fillId="11" borderId="60" xfId="2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0" fontId="1" fillId="0" borderId="62" xfId="0" applyFont="1" applyBorder="1" applyAlignment="1">
      <alignment horizontal="left" vertical="center"/>
    </xf>
    <xf numFmtId="0" fontId="0" fillId="0" borderId="64" xfId="0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22" fillId="0" borderId="28" xfId="0" applyFont="1" applyBorder="1"/>
    <xf numFmtId="0" fontId="22" fillId="0" borderId="3" xfId="0" applyFont="1" applyBorder="1"/>
    <xf numFmtId="0" fontId="0" fillId="13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166" fontId="0" fillId="0" borderId="0" xfId="0" applyNumberFormat="1"/>
    <xf numFmtId="0" fontId="0" fillId="2" borderId="1" xfId="0" applyFill="1" applyBorder="1"/>
    <xf numFmtId="1" fontId="0" fillId="0" borderId="0" xfId="0" applyNumberFormat="1"/>
    <xf numFmtId="0" fontId="22" fillId="0" borderId="24" xfId="0" applyFont="1" applyBorder="1"/>
    <xf numFmtId="0" fontId="0" fillId="0" borderId="67" xfId="0" applyBorder="1" applyAlignment="1">
      <alignment horizontal="left" vertical="center"/>
    </xf>
    <xf numFmtId="0" fontId="0" fillId="0" borderId="68" xfId="0" applyBorder="1" applyAlignment="1">
      <alignment horizontal="center" vertical="center"/>
    </xf>
    <xf numFmtId="0" fontId="0" fillId="0" borderId="69" xfId="0" applyBorder="1" applyAlignment="1">
      <alignment horizontal="left" vertical="center"/>
    </xf>
    <xf numFmtId="0" fontId="0" fillId="0" borderId="70" xfId="0" applyBorder="1" applyAlignment="1">
      <alignment horizontal="center" vertical="center"/>
    </xf>
    <xf numFmtId="0" fontId="0" fillId="0" borderId="71" xfId="0" applyBorder="1"/>
    <xf numFmtId="0" fontId="0" fillId="0" borderId="72" xfId="0" applyBorder="1"/>
    <xf numFmtId="0" fontId="0" fillId="0" borderId="61" xfId="0" applyBorder="1" applyAlignment="1">
      <alignment horizontal="left" vertical="center"/>
    </xf>
    <xf numFmtId="0" fontId="0" fillId="0" borderId="75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72" xfId="0" applyBorder="1" applyAlignment="1">
      <alignment horizontal="center"/>
    </xf>
    <xf numFmtId="0" fontId="0" fillId="0" borderId="39" xfId="0" applyBorder="1" applyAlignment="1">
      <alignment horizontal="center" vertical="center"/>
    </xf>
    <xf numFmtId="0" fontId="1" fillId="0" borderId="67" xfId="0" applyFont="1" applyBorder="1" applyAlignment="1">
      <alignment horizontal="left" vertical="center"/>
    </xf>
    <xf numFmtId="0" fontId="1" fillId="0" borderId="78" xfId="0" applyFont="1" applyBorder="1" applyAlignment="1">
      <alignment horizontal="left" vertical="center"/>
    </xf>
    <xf numFmtId="0" fontId="0" fillId="0" borderId="77" xfId="0" applyBorder="1" applyAlignment="1">
      <alignment horizontal="center" vertical="center"/>
    </xf>
    <xf numFmtId="0" fontId="0" fillId="0" borderId="58" xfId="0" applyBorder="1"/>
    <xf numFmtId="2" fontId="0" fillId="0" borderId="59" xfId="0" applyNumberFormat="1" applyBorder="1"/>
    <xf numFmtId="2" fontId="0" fillId="0" borderId="60" xfId="1" applyNumberFormat="1" applyFont="1" applyBorder="1"/>
    <xf numFmtId="0" fontId="0" fillId="14" borderId="1" xfId="0" applyFill="1" applyBorder="1" applyAlignment="1">
      <alignment horizontal="center" vertical="center"/>
    </xf>
    <xf numFmtId="0" fontId="24" fillId="0" borderId="38" xfId="0" applyFont="1" applyBorder="1" applyAlignment="1">
      <alignment horizontal="center" vertical="center" wrapText="1"/>
    </xf>
    <xf numFmtId="0" fontId="24" fillId="0" borderId="28" xfId="0" applyFont="1" applyBorder="1" applyAlignment="1">
      <alignment horizontal="center" vertical="center" wrapText="1"/>
    </xf>
    <xf numFmtId="0" fontId="22" fillId="15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0" fontId="22" fillId="0" borderId="1" xfId="0" applyFont="1" applyBorder="1"/>
    <xf numFmtId="0" fontId="22" fillId="15" borderId="24" xfId="0" applyFont="1" applyFill="1" applyBorder="1"/>
    <xf numFmtId="0" fontId="22" fillId="15" borderId="3" xfId="0" applyFont="1" applyFill="1" applyBorder="1"/>
    <xf numFmtId="0" fontId="22" fillId="5" borderId="3" xfId="0" applyFont="1" applyFill="1" applyBorder="1"/>
    <xf numFmtId="0" fontId="1" fillId="0" borderId="0" xfId="0" applyFont="1" applyAlignment="1">
      <alignment horizontal="center"/>
    </xf>
    <xf numFmtId="0" fontId="0" fillId="0" borderId="80" xfId="0" applyBorder="1" applyAlignment="1">
      <alignment horizontal="left"/>
    </xf>
    <xf numFmtId="0" fontId="0" fillId="0" borderId="81" xfId="0" applyBorder="1" applyAlignment="1">
      <alignment horizontal="left"/>
    </xf>
    <xf numFmtId="0" fontId="2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24" xfId="0" applyBorder="1" applyAlignment="1">
      <alignment horizontal="left"/>
    </xf>
    <xf numFmtId="0" fontId="23" fillId="0" borderId="1" xfId="0" applyFont="1" applyBorder="1"/>
    <xf numFmtId="0" fontId="23" fillId="0" borderId="24" xfId="0" applyFont="1" applyBorder="1"/>
    <xf numFmtId="0" fontId="29" fillId="0" borderId="28" xfId="0" applyFont="1" applyBorder="1"/>
    <xf numFmtId="0" fontId="29" fillId="0" borderId="3" xfId="0" applyFont="1" applyBorder="1"/>
    <xf numFmtId="0" fontId="31" fillId="0" borderId="1" xfId="0" applyFont="1" applyBorder="1"/>
    <xf numFmtId="0" fontId="29" fillId="0" borderId="24" xfId="0" applyFont="1" applyBorder="1"/>
    <xf numFmtId="0" fontId="22" fillId="0" borderId="39" xfId="0" applyFont="1" applyBorder="1"/>
    <xf numFmtId="0" fontId="22" fillId="0" borderId="11" xfId="0" applyFont="1" applyBorder="1"/>
    <xf numFmtId="0" fontId="29" fillId="0" borderId="0" xfId="0" applyFont="1"/>
    <xf numFmtId="0" fontId="22" fillId="0" borderId="0" xfId="0" applyFont="1"/>
    <xf numFmtId="0" fontId="22" fillId="0" borderId="83" xfId="0" applyFont="1" applyBorder="1"/>
    <xf numFmtId="0" fontId="22" fillId="0" borderId="84" xfId="0" applyFont="1" applyBorder="1"/>
    <xf numFmtId="0" fontId="29" fillId="0" borderId="82" xfId="0" applyFont="1" applyBorder="1"/>
    <xf numFmtId="0" fontId="22" fillId="0" borderId="82" xfId="0" applyFont="1" applyBorder="1"/>
    <xf numFmtId="0" fontId="29" fillId="0" borderId="88" xfId="0" applyFont="1" applyBorder="1"/>
    <xf numFmtId="0" fontId="22" fillId="0" borderId="88" xfId="0" applyFont="1" applyBorder="1"/>
    <xf numFmtId="0" fontId="31" fillId="0" borderId="0" xfId="0" applyFont="1"/>
    <xf numFmtId="0" fontId="22" fillId="0" borderId="90" xfId="0" applyFont="1" applyBorder="1"/>
    <xf numFmtId="0" fontId="29" fillId="0" borderId="84" xfId="0" applyFont="1" applyBorder="1"/>
    <xf numFmtId="0" fontId="29" fillId="0" borderId="39" xfId="0" applyFont="1" applyBorder="1"/>
    <xf numFmtId="0" fontId="29" fillId="0" borderId="11" xfId="0" applyFont="1" applyBorder="1"/>
    <xf numFmtId="0" fontId="29" fillId="0" borderId="83" xfId="0" applyFont="1" applyBorder="1"/>
    <xf numFmtId="0" fontId="29" fillId="0" borderId="89" xfId="0" applyFont="1" applyBorder="1"/>
    <xf numFmtId="0" fontId="29" fillId="0" borderId="85" xfId="0" applyFont="1" applyBorder="1"/>
    <xf numFmtId="0" fontId="29" fillId="0" borderId="92" xfId="0" applyFont="1" applyBorder="1"/>
    <xf numFmtId="0" fontId="29" fillId="0" borderId="90" xfId="0" applyFont="1" applyBorder="1"/>
    <xf numFmtId="0" fontId="22" fillId="0" borderId="92" xfId="0" applyFont="1" applyBorder="1"/>
    <xf numFmtId="0" fontId="22" fillId="0" borderId="95" xfId="0" applyFont="1" applyBorder="1"/>
    <xf numFmtId="0" fontId="29" fillId="0" borderId="95" xfId="0" applyFont="1" applyBorder="1"/>
    <xf numFmtId="0" fontId="29" fillId="0" borderId="97" xfId="0" applyFont="1" applyBorder="1"/>
    <xf numFmtId="166" fontId="22" fillId="0" borderId="3" xfId="0" applyNumberFormat="1" applyFont="1" applyBorder="1"/>
    <xf numFmtId="0" fontId="31" fillId="0" borderId="24" xfId="0" applyFont="1" applyBorder="1"/>
    <xf numFmtId="3" fontId="29" fillId="0" borderId="3" xfId="0" applyNumberFormat="1" applyFont="1" applyBorder="1"/>
    <xf numFmtId="0" fontId="31" fillId="0" borderId="1" xfId="0" applyFont="1" applyBorder="1" applyAlignment="1">
      <alignment wrapText="1"/>
    </xf>
    <xf numFmtId="0" fontId="29" fillId="0" borderId="28" xfId="0" applyFont="1" applyBorder="1" applyAlignment="1">
      <alignment wrapText="1"/>
    </xf>
    <xf numFmtId="0" fontId="29" fillId="0" borderId="0" xfId="0" applyFont="1" applyAlignment="1">
      <alignment wrapText="1"/>
    </xf>
    <xf numFmtId="3" fontId="29" fillId="0" borderId="0" xfId="0" applyNumberFormat="1" applyFont="1"/>
    <xf numFmtId="0" fontId="0" fillId="0" borderId="85" xfId="0" applyBorder="1"/>
    <xf numFmtId="0" fontId="29" fillId="0" borderId="39" xfId="0" applyFont="1" applyBorder="1" applyAlignment="1">
      <alignment wrapText="1"/>
    </xf>
    <xf numFmtId="3" fontId="29" fillId="0" borderId="11" xfId="0" applyNumberFormat="1" applyFont="1" applyBorder="1"/>
    <xf numFmtId="0" fontId="29" fillId="0" borderId="85" xfId="0" applyFont="1" applyBorder="1" applyAlignment="1">
      <alignment wrapText="1"/>
    </xf>
    <xf numFmtId="3" fontId="29" fillId="0" borderId="85" xfId="0" applyNumberFormat="1" applyFont="1" applyBorder="1"/>
    <xf numFmtId="0" fontId="32" fillId="0" borderId="85" xfId="0" applyFont="1" applyBorder="1"/>
    <xf numFmtId="0" fontId="32" fillId="0" borderId="86" xfId="0" applyFont="1" applyBorder="1"/>
    <xf numFmtId="0" fontId="32" fillId="0" borderId="0" xfId="0" applyFont="1"/>
    <xf numFmtId="0" fontId="32" fillId="0" borderId="97" xfId="0" applyFont="1" applyBorder="1"/>
    <xf numFmtId="0" fontId="32" fillId="0" borderId="87" xfId="0" applyFont="1" applyBorder="1"/>
    <xf numFmtId="0" fontId="33" fillId="0" borderId="93" xfId="0" applyFont="1" applyBorder="1"/>
    <xf numFmtId="0" fontId="33" fillId="0" borderId="6" xfId="0" applyFont="1" applyBorder="1"/>
    <xf numFmtId="0" fontId="33" fillId="0" borderId="24" xfId="0" applyFont="1" applyBorder="1"/>
    <xf numFmtId="3" fontId="0" fillId="2" borderId="1" xfId="0" applyNumberFormat="1" applyFill="1" applyBorder="1"/>
    <xf numFmtId="3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0" fontId="0" fillId="0" borderId="92" xfId="0" applyBorder="1"/>
    <xf numFmtId="0" fontId="0" fillId="0" borderId="91" xfId="0" applyBorder="1"/>
    <xf numFmtId="1" fontId="0" fillId="2" borderId="1" xfId="0" applyNumberFormat="1" applyFill="1" applyBorder="1" applyAlignment="1">
      <alignment horizontal="center" vertical="center"/>
    </xf>
    <xf numFmtId="0" fontId="1" fillId="10" borderId="0" xfId="0" applyFont="1" applyFill="1" applyAlignment="1">
      <alignment horizontal="center" vertical="center" wrapText="1"/>
    </xf>
    <xf numFmtId="0" fontId="0" fillId="10" borderId="0" xfId="0" applyFill="1" applyAlignment="1">
      <alignment horizontal="center"/>
    </xf>
    <xf numFmtId="0" fontId="0" fillId="10" borderId="0" xfId="0" applyFill="1"/>
    <xf numFmtId="0" fontId="1" fillId="10" borderId="0" xfId="0" applyFont="1" applyFill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  <xf numFmtId="0" fontId="36" fillId="0" borderId="46" xfId="0" applyFont="1" applyBorder="1"/>
    <xf numFmtId="0" fontId="36" fillId="17" borderId="47" xfId="0" applyFont="1" applyFill="1" applyBorder="1"/>
    <xf numFmtId="0" fontId="36" fillId="17" borderId="0" xfId="0" applyFont="1" applyFill="1"/>
    <xf numFmtId="0" fontId="36" fillId="0" borderId="47" xfId="0" applyFont="1" applyBorder="1"/>
    <xf numFmtId="0" fontId="36" fillId="0" borderId="36" xfId="0" applyFont="1" applyBorder="1"/>
    <xf numFmtId="0" fontId="36" fillId="0" borderId="0" xfId="0" applyFont="1"/>
    <xf numFmtId="0" fontId="37" fillId="0" borderId="47" xfId="0" applyFont="1" applyBorder="1"/>
    <xf numFmtId="0" fontId="37" fillId="0" borderId="46" xfId="0" applyFont="1" applyBorder="1"/>
    <xf numFmtId="0" fontId="36" fillId="0" borderId="27" xfId="0" applyFont="1" applyBorder="1"/>
    <xf numFmtId="0" fontId="36" fillId="0" borderId="104" xfId="0" applyFont="1" applyBorder="1"/>
    <xf numFmtId="0" fontId="36" fillId="18" borderId="0" xfId="0" applyFont="1" applyFill="1"/>
    <xf numFmtId="0" fontId="36" fillId="19" borderId="0" xfId="0" applyFont="1" applyFill="1"/>
    <xf numFmtId="0" fontId="36" fillId="0" borderId="27" xfId="0" applyFont="1" applyBorder="1" applyAlignment="1">
      <alignment wrapText="1"/>
    </xf>
    <xf numFmtId="0" fontId="38" fillId="0" borderId="0" xfId="0" applyFont="1"/>
    <xf numFmtId="0" fontId="38" fillId="17" borderId="0" xfId="0" applyFont="1" applyFill="1"/>
    <xf numFmtId="0" fontId="36" fillId="0" borderId="50" xfId="0" applyFont="1" applyBorder="1"/>
    <xf numFmtId="0" fontId="36" fillId="19" borderId="51" xfId="0" applyFont="1" applyFill="1" applyBorder="1"/>
    <xf numFmtId="0" fontId="36" fillId="0" borderId="51" xfId="0" applyFont="1" applyBorder="1"/>
    <xf numFmtId="0" fontId="36" fillId="0" borderId="105" xfId="0" applyFont="1" applyBorder="1"/>
    <xf numFmtId="0" fontId="36" fillId="10" borderId="0" xfId="0" applyFont="1" applyFill="1"/>
    <xf numFmtId="0" fontId="36" fillId="18" borderId="46" xfId="0" applyFont="1" applyFill="1" applyBorder="1"/>
    <xf numFmtId="0" fontId="36" fillId="18" borderId="47" xfId="0" applyFont="1" applyFill="1" applyBorder="1"/>
    <xf numFmtId="0" fontId="36" fillId="17" borderId="27" xfId="0" applyFont="1" applyFill="1" applyBorder="1"/>
    <xf numFmtId="0" fontId="0" fillId="6" borderId="1" xfId="0" applyFill="1" applyBorder="1" applyAlignment="1">
      <alignment horizontal="center" vertical="center"/>
    </xf>
    <xf numFmtId="0" fontId="36" fillId="0" borderId="106" xfId="0" applyFont="1" applyBorder="1"/>
    <xf numFmtId="0" fontId="36" fillId="0" borderId="50" xfId="0" applyFont="1" applyBorder="1" applyAlignment="1">
      <alignment vertical="center"/>
    </xf>
    <xf numFmtId="0" fontId="36" fillId="0" borderId="51" xfId="0" applyFont="1" applyBorder="1" applyAlignment="1">
      <alignment vertical="center"/>
    </xf>
    <xf numFmtId="0" fontId="36" fillId="16" borderId="0" xfId="0" applyFont="1" applyFill="1"/>
    <xf numFmtId="0" fontId="29" fillId="21" borderId="0" xfId="0" applyFont="1" applyFill="1"/>
    <xf numFmtId="0" fontId="29" fillId="10" borderId="28" xfId="0" applyFont="1" applyFill="1" applyBorder="1" applyAlignment="1">
      <alignment wrapText="1"/>
    </xf>
    <xf numFmtId="0" fontId="29" fillId="23" borderId="97" xfId="0" applyFont="1" applyFill="1" applyBorder="1"/>
    <xf numFmtId="0" fontId="29" fillId="23" borderId="87" xfId="0" applyFont="1" applyFill="1" applyBorder="1"/>
    <xf numFmtId="0" fontId="29" fillId="23" borderId="98" xfId="0" applyFont="1" applyFill="1" applyBorder="1"/>
    <xf numFmtId="0" fontId="29" fillId="23" borderId="107" xfId="0" applyFont="1" applyFill="1" applyBorder="1"/>
    <xf numFmtId="166" fontId="29" fillId="23" borderId="87" xfId="0" applyNumberFormat="1" applyFont="1" applyFill="1" applyBorder="1"/>
    <xf numFmtId="1" fontId="29" fillId="23" borderId="87" xfId="0" applyNumberFormat="1" applyFont="1" applyFill="1" applyBorder="1"/>
    <xf numFmtId="2" fontId="29" fillId="23" borderId="87" xfId="0" applyNumberFormat="1" applyFont="1" applyFill="1" applyBorder="1"/>
    <xf numFmtId="0" fontId="29" fillId="23" borderId="0" xfId="0" applyFont="1" applyFill="1"/>
    <xf numFmtId="1" fontId="22" fillId="23" borderId="87" xfId="0" applyNumberFormat="1" applyFont="1" applyFill="1" applyBorder="1"/>
    <xf numFmtId="0" fontId="31" fillId="0" borderId="0" xfId="0" applyFont="1" applyAlignment="1">
      <alignment wrapText="1"/>
    </xf>
    <xf numFmtId="0" fontId="1" fillId="0" borderId="85" xfId="0" applyFont="1" applyBorder="1"/>
    <xf numFmtId="3" fontId="0" fillId="0" borderId="85" xfId="0" applyNumberFormat="1" applyBorder="1"/>
    <xf numFmtId="0" fontId="0" fillId="0" borderId="85" xfId="0" applyBorder="1" applyAlignment="1">
      <alignment wrapText="1"/>
    </xf>
    <xf numFmtId="0" fontId="1" fillId="0" borderId="0" xfId="0" applyFont="1"/>
    <xf numFmtId="0" fontId="1" fillId="0" borderId="92" xfId="0" applyFont="1" applyBorder="1"/>
    <xf numFmtId="0" fontId="0" fillId="0" borderId="108" xfId="0" applyBorder="1" applyAlignment="1">
      <alignment horizontal="center" vertical="center"/>
    </xf>
    <xf numFmtId="0" fontId="1" fillId="0" borderId="69" xfId="0" applyFont="1" applyBorder="1" applyAlignment="1">
      <alignment horizontal="left" vertical="center"/>
    </xf>
    <xf numFmtId="0" fontId="1" fillId="0" borderId="71" xfId="0" applyFont="1" applyBorder="1" applyAlignment="1">
      <alignment horizontal="left" vertical="center"/>
    </xf>
    <xf numFmtId="0" fontId="1" fillId="0" borderId="76" xfId="0" applyFont="1" applyBorder="1" applyAlignment="1">
      <alignment horizontal="left" vertical="center"/>
    </xf>
    <xf numFmtId="0" fontId="0" fillId="10" borderId="62" xfId="0" applyFill="1" applyBorder="1" applyAlignment="1">
      <alignment horizontal="left" vertical="center"/>
    </xf>
    <xf numFmtId="0" fontId="0" fillId="10" borderId="56" xfId="0" applyFill="1" applyBorder="1" applyAlignment="1">
      <alignment horizontal="center" vertical="center"/>
    </xf>
    <xf numFmtId="0" fontId="0" fillId="10" borderId="76" xfId="0" applyFill="1" applyBorder="1" applyAlignment="1">
      <alignment horizontal="left" vertical="center"/>
    </xf>
    <xf numFmtId="0" fontId="0" fillId="10" borderId="63" xfId="0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59" xfId="0" applyBorder="1" applyAlignment="1">
      <alignment vertical="center"/>
    </xf>
    <xf numFmtId="2" fontId="0" fillId="0" borderId="1" xfId="0" applyNumberFormat="1" applyBorder="1" applyAlignment="1">
      <alignment vertical="center"/>
    </xf>
    <xf numFmtId="0" fontId="31" fillId="23" borderId="97" xfId="0" applyFont="1" applyFill="1" applyBorder="1"/>
    <xf numFmtId="0" fontId="31" fillId="23" borderId="87" xfId="0" applyFont="1" applyFill="1" applyBorder="1"/>
    <xf numFmtId="167" fontId="29" fillId="23" borderId="87" xfId="0" applyNumberFormat="1" applyFont="1" applyFill="1" applyBorder="1"/>
    <xf numFmtId="0" fontId="1" fillId="0" borderId="55" xfId="0" applyFont="1" applyBorder="1"/>
    <xf numFmtId="0" fontId="33" fillId="0" borderId="99" xfId="0" applyFont="1" applyBorder="1" applyAlignment="1">
      <alignment horizontal="center"/>
    </xf>
    <xf numFmtId="0" fontId="33" fillId="0" borderId="91" xfId="0" applyFont="1" applyBorder="1" applyAlignment="1">
      <alignment horizontal="center"/>
    </xf>
    <xf numFmtId="0" fontId="33" fillId="0" borderId="10" xfId="0" applyFont="1" applyBorder="1" applyAlignment="1">
      <alignment horizontal="center"/>
    </xf>
    <xf numFmtId="0" fontId="33" fillId="0" borderId="0" xfId="0" applyFont="1" applyAlignment="1">
      <alignment horizontal="center"/>
    </xf>
    <xf numFmtId="0" fontId="33" fillId="0" borderId="7" xfId="0" applyFont="1" applyBorder="1" applyAlignment="1">
      <alignment horizontal="center"/>
    </xf>
    <xf numFmtId="0" fontId="33" fillId="0" borderId="101" xfId="0" applyFont="1" applyBorder="1" applyAlignment="1">
      <alignment horizontal="center"/>
    </xf>
    <xf numFmtId="0" fontId="33" fillId="0" borderId="102" xfId="0" applyFont="1" applyBorder="1" applyAlignment="1">
      <alignment horizontal="center"/>
    </xf>
    <xf numFmtId="0" fontId="33" fillId="0" borderId="8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4" xfId="0" applyBorder="1" applyAlignment="1">
      <alignment horizontal="center"/>
    </xf>
    <xf numFmtId="0" fontId="34" fillId="0" borderId="39" xfId="0" applyFont="1" applyBorder="1"/>
    <xf numFmtId="0" fontId="34" fillId="0" borderId="28" xfId="0" applyFont="1" applyBorder="1"/>
    <xf numFmtId="0" fontId="32" fillId="0" borderId="39" xfId="0" applyFont="1" applyBorder="1"/>
    <xf numFmtId="0" fontId="32" fillId="0" borderId="28" xfId="0" applyFont="1" applyBorder="1"/>
    <xf numFmtId="165" fontId="1" fillId="0" borderId="1" xfId="0" applyNumberFormat="1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3" fillId="0" borderId="98" xfId="0" applyFont="1" applyBorder="1"/>
    <xf numFmtId="0" fontId="33" fillId="0" borderId="97" xfId="0" applyFont="1" applyBorder="1"/>
    <xf numFmtId="0" fontId="33" fillId="0" borderId="98" xfId="0" applyFont="1" applyBorder="1" applyAlignment="1">
      <alignment wrapText="1"/>
    </xf>
    <xf numFmtId="0" fontId="33" fillId="0" borderId="97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165" fontId="1" fillId="0" borderId="0" xfId="0" applyNumberFormat="1" applyFon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65" fontId="4" fillId="0" borderId="7" xfId="0" applyNumberFormat="1" applyFont="1" applyBorder="1" applyAlignment="1">
      <alignment horizontal="center" vertical="center" wrapText="1"/>
    </xf>
    <xf numFmtId="165" fontId="4" fillId="0" borderId="5" xfId="0" applyNumberFormat="1" applyFont="1" applyBorder="1" applyAlignment="1">
      <alignment horizontal="center" vertical="center" wrapText="1"/>
    </xf>
    <xf numFmtId="165" fontId="4" fillId="0" borderId="8" xfId="0" applyNumberFormat="1" applyFont="1" applyBorder="1" applyAlignment="1">
      <alignment horizontal="center" vertical="center" wrapText="1"/>
    </xf>
    <xf numFmtId="165" fontId="4" fillId="0" borderId="9" xfId="0" applyNumberFormat="1" applyFont="1" applyBorder="1" applyAlignment="1">
      <alignment horizontal="center" vertical="center" wrapText="1"/>
    </xf>
    <xf numFmtId="165" fontId="4" fillId="0" borderId="2" xfId="0" applyNumberFormat="1" applyFont="1" applyBorder="1" applyAlignment="1">
      <alignment horizontal="center" vertical="center" wrapText="1"/>
    </xf>
    <xf numFmtId="165" fontId="4" fillId="0" borderId="3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left"/>
    </xf>
    <xf numFmtId="0" fontId="1" fillId="0" borderId="0" xfId="0" applyFont="1" applyAlignment="1">
      <alignment horizontal="left" vertical="center" wrapText="1"/>
    </xf>
    <xf numFmtId="3" fontId="4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65" fontId="4" fillId="0" borderId="0" xfId="0" applyNumberFormat="1" applyFont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9" fontId="0" fillId="0" borderId="16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0" fillId="0" borderId="18" xfId="0" applyNumberForma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9" fontId="0" fillId="0" borderId="19" xfId="0" applyNumberFormat="1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2" fillId="0" borderId="6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24" xfId="0" applyFont="1" applyBorder="1" applyAlignment="1">
      <alignment horizontal="left"/>
    </xf>
    <xf numFmtId="0" fontId="0" fillId="0" borderId="23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3" fillId="2" borderId="6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3" fillId="2" borderId="24" xfId="0" applyFont="1" applyFill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2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0" xfId="0"/>
    <xf numFmtId="0" fontId="32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0" fillId="0" borderId="96" xfId="0" applyBorder="1" applyAlignment="1">
      <alignment horizontal="center"/>
    </xf>
    <xf numFmtId="0" fontId="0" fillId="0" borderId="94" xfId="0" applyBorder="1" applyAlignment="1">
      <alignment horizontal="center"/>
    </xf>
    <xf numFmtId="0" fontId="32" fillId="0" borderId="0" xfId="0" applyFont="1"/>
    <xf numFmtId="0" fontId="0" fillId="0" borderId="86" xfId="0" applyBorder="1" applyAlignment="1">
      <alignment horizontal="center"/>
    </xf>
    <xf numFmtId="0" fontId="29" fillId="0" borderId="85" xfId="0" applyFont="1" applyBorder="1" applyAlignment="1">
      <alignment horizontal="center"/>
    </xf>
    <xf numFmtId="0" fontId="0" fillId="0" borderId="92" xfId="0" applyBorder="1" applyAlignment="1">
      <alignment horizontal="center"/>
    </xf>
    <xf numFmtId="0" fontId="32" fillId="0" borderId="96" xfId="0" applyFont="1" applyBorder="1" applyAlignment="1">
      <alignment horizontal="center"/>
    </xf>
    <xf numFmtId="0" fontId="32" fillId="0" borderId="94" xfId="0" applyFont="1" applyBorder="1" applyAlignment="1">
      <alignment horizontal="center"/>
    </xf>
    <xf numFmtId="0" fontId="32" fillId="0" borderId="86" xfId="0" applyFont="1" applyBorder="1" applyAlignment="1">
      <alignment horizontal="center"/>
    </xf>
    <xf numFmtId="0" fontId="32" fillId="0" borderId="100" xfId="0" applyFont="1" applyBorder="1" applyAlignment="1">
      <alignment horizontal="center"/>
    </xf>
    <xf numFmtId="0" fontId="32" fillId="0" borderId="93" xfId="0" applyFont="1" applyBorder="1" applyAlignment="1">
      <alignment horizontal="center"/>
    </xf>
    <xf numFmtId="0" fontId="32" fillId="0" borderId="87" xfId="0" applyFont="1" applyBorder="1" applyAlignment="1">
      <alignment horizontal="center"/>
    </xf>
    <xf numFmtId="0" fontId="35" fillId="0" borderId="85" xfId="0" applyFont="1" applyBorder="1" applyAlignment="1">
      <alignment horizontal="center"/>
    </xf>
    <xf numFmtId="0" fontId="32" fillId="0" borderId="85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32" fillId="0" borderId="94" xfId="0" applyFont="1" applyBorder="1"/>
    <xf numFmtId="0" fontId="32" fillId="0" borderId="86" xfId="0" applyFont="1" applyBorder="1"/>
    <xf numFmtId="0" fontId="1" fillId="0" borderId="38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2" fontId="0" fillId="8" borderId="38" xfId="0" applyNumberFormat="1" applyFill="1" applyBorder="1" applyAlignment="1">
      <alignment horizontal="center" vertical="center"/>
    </xf>
    <xf numFmtId="2" fontId="0" fillId="8" borderId="28" xfId="0" applyNumberFormat="1" applyFill="1" applyBorder="1" applyAlignment="1">
      <alignment horizontal="center" vertical="center"/>
    </xf>
    <xf numFmtId="2" fontId="0" fillId="8" borderId="1" xfId="1" applyNumberFormat="1" applyFont="1" applyFill="1" applyBorder="1" applyAlignment="1">
      <alignment horizontal="center" vertical="center"/>
    </xf>
    <xf numFmtId="10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0" fontId="0" fillId="8" borderId="38" xfId="1" applyNumberFormat="1" applyFont="1" applyFill="1" applyBorder="1" applyAlignment="1">
      <alignment horizontal="center" vertical="center"/>
    </xf>
    <xf numFmtId="10" fontId="0" fillId="8" borderId="28" xfId="1" applyNumberFormat="1" applyFont="1" applyFill="1" applyBorder="1" applyAlignment="1">
      <alignment horizontal="center" vertical="center"/>
    </xf>
    <xf numFmtId="9" fontId="0" fillId="8" borderId="38" xfId="0" applyNumberFormat="1" applyFill="1" applyBorder="1" applyAlignment="1">
      <alignment horizontal="center" vertical="center"/>
    </xf>
    <xf numFmtId="9" fontId="0" fillId="8" borderId="28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0" xfId="0" applyAlignment="1">
      <alignment horizontal="left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2" fontId="9" fillId="8" borderId="1" xfId="0" applyNumberFormat="1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" fillId="9" borderId="38" xfId="0" applyFont="1" applyFill="1" applyBorder="1" applyAlignment="1">
      <alignment horizontal="center" vertical="center" wrapText="1"/>
    </xf>
    <xf numFmtId="0" fontId="1" fillId="9" borderId="39" xfId="0" applyFont="1" applyFill="1" applyBorder="1" applyAlignment="1">
      <alignment horizontal="center" vertical="center" wrapText="1"/>
    </xf>
    <xf numFmtId="0" fontId="1" fillId="9" borderId="28" xfId="0" applyFont="1" applyFill="1" applyBorder="1" applyAlignment="1">
      <alignment horizontal="center" vertical="center" wrapText="1"/>
    </xf>
    <xf numFmtId="0" fontId="17" fillId="9" borderId="38" xfId="0" applyFont="1" applyFill="1" applyBorder="1" applyAlignment="1">
      <alignment horizontal="center" vertical="center" wrapText="1"/>
    </xf>
    <xf numFmtId="0" fontId="17" fillId="9" borderId="39" xfId="0" applyFont="1" applyFill="1" applyBorder="1" applyAlignment="1">
      <alignment horizontal="center" vertical="center" wrapText="1"/>
    </xf>
    <xf numFmtId="0" fontId="17" fillId="9" borderId="28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wrapText="1"/>
    </xf>
    <xf numFmtId="0" fontId="1" fillId="0" borderId="28" xfId="0" applyFont="1" applyBorder="1" applyAlignment="1">
      <alignment horizontal="center" wrapText="1"/>
    </xf>
    <xf numFmtId="0" fontId="10" fillId="0" borderId="38" xfId="0" applyFont="1" applyBorder="1" applyAlignment="1">
      <alignment horizontal="center" wrapText="1"/>
    </xf>
    <xf numFmtId="0" fontId="10" fillId="0" borderId="28" xfId="0" applyFont="1" applyBorder="1" applyAlignment="1">
      <alignment horizontal="center" wrapText="1"/>
    </xf>
    <xf numFmtId="2" fontId="0" fillId="8" borderId="1" xfId="0" applyNumberFormat="1" applyFill="1" applyBorder="1" applyAlignment="1">
      <alignment horizontal="center" vertical="center"/>
    </xf>
    <xf numFmtId="2" fontId="0" fillId="8" borderId="38" xfId="1" applyNumberFormat="1" applyFont="1" applyFill="1" applyBorder="1" applyAlignment="1">
      <alignment horizontal="center" vertical="center"/>
    </xf>
    <xf numFmtId="2" fontId="0" fillId="8" borderId="28" xfId="1" applyNumberFormat="1" applyFont="1" applyFill="1" applyBorder="1" applyAlignment="1">
      <alignment horizontal="center" vertical="center"/>
    </xf>
    <xf numFmtId="10" fontId="0" fillId="8" borderId="38" xfId="0" applyNumberFormat="1" applyFill="1" applyBorder="1" applyAlignment="1">
      <alignment horizontal="center" vertical="center"/>
    </xf>
    <xf numFmtId="10" fontId="0" fillId="8" borderId="28" xfId="0" applyNumberFormat="1" applyFill="1" applyBorder="1" applyAlignment="1">
      <alignment horizontal="center" vertical="center"/>
    </xf>
    <xf numFmtId="9" fontId="19" fillId="8" borderId="38" xfId="0" applyNumberFormat="1" applyFont="1" applyFill="1" applyBorder="1" applyAlignment="1">
      <alignment horizontal="center" vertical="center"/>
    </xf>
    <xf numFmtId="9" fontId="19" fillId="8" borderId="28" xfId="0" applyNumberFormat="1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10" fontId="0" fillId="8" borderId="39" xfId="0" applyNumberFormat="1" applyFill="1" applyBorder="1" applyAlignment="1">
      <alignment horizontal="center" vertical="center"/>
    </xf>
    <xf numFmtId="9" fontId="0" fillId="8" borderId="39" xfId="0" applyNumberFormat="1" applyFill="1" applyBorder="1" applyAlignment="1">
      <alignment horizontal="center" vertical="center"/>
    </xf>
    <xf numFmtId="2" fontId="0" fillId="8" borderId="7" xfId="0" applyNumberFormat="1" applyFill="1" applyBorder="1" applyAlignment="1">
      <alignment horizontal="center" vertical="center"/>
    </xf>
    <xf numFmtId="2" fontId="0" fillId="8" borderId="8" xfId="0" applyNumberFormat="1" applyFill="1" applyBorder="1" applyAlignment="1">
      <alignment horizontal="center" vertical="center"/>
    </xf>
    <xf numFmtId="2" fontId="0" fillId="8" borderId="10" xfId="0" applyNumberFormat="1" applyFill="1" applyBorder="1" applyAlignment="1">
      <alignment horizontal="center" vertical="center"/>
    </xf>
    <xf numFmtId="2" fontId="0" fillId="8" borderId="11" xfId="0" applyNumberFormat="1" applyFill="1" applyBorder="1" applyAlignment="1">
      <alignment horizontal="center" vertical="center"/>
    </xf>
    <xf numFmtId="2" fontId="0" fillId="8" borderId="9" xfId="0" applyNumberFormat="1" applyFill="1" applyBorder="1" applyAlignment="1">
      <alignment horizontal="center" vertical="center"/>
    </xf>
    <xf numFmtId="2" fontId="0" fillId="8" borderId="3" xfId="0" applyNumberFormat="1" applyFill="1" applyBorder="1" applyAlignment="1">
      <alignment horizontal="center" vertical="center"/>
    </xf>
    <xf numFmtId="2" fontId="0" fillId="8" borderId="39" xfId="0" applyNumberFormat="1" applyFill="1" applyBorder="1" applyAlignment="1">
      <alignment horizontal="center" vertical="center"/>
    </xf>
    <xf numFmtId="2" fontId="0" fillId="8" borderId="39" xfId="1" applyNumberFormat="1" applyFont="1" applyFill="1" applyBorder="1" applyAlignment="1">
      <alignment horizontal="center" vertical="center"/>
    </xf>
    <xf numFmtId="9" fontId="19" fillId="8" borderId="39" xfId="0" applyNumberFormat="1" applyFont="1" applyFill="1" applyBorder="1" applyAlignment="1">
      <alignment horizontal="center" vertical="center"/>
    </xf>
    <xf numFmtId="10" fontId="0" fillId="8" borderId="39" xfId="1" applyNumberFormat="1" applyFont="1" applyFill="1" applyBorder="1" applyAlignment="1">
      <alignment horizontal="center" vertical="center"/>
    </xf>
    <xf numFmtId="3" fontId="15" fillId="0" borderId="0" xfId="0" applyNumberFormat="1" applyFont="1" applyAlignment="1">
      <alignment horizontal="center" vertical="top" wrapText="1"/>
    </xf>
    <xf numFmtId="3" fontId="4" fillId="8" borderId="7" xfId="0" applyNumberFormat="1" applyFont="1" applyFill="1" applyBorder="1" applyAlignment="1">
      <alignment horizontal="center" vertical="center"/>
    </xf>
    <xf numFmtId="3" fontId="4" fillId="8" borderId="8" xfId="0" applyNumberFormat="1" applyFont="1" applyFill="1" applyBorder="1" applyAlignment="1">
      <alignment horizontal="center" vertical="center"/>
    </xf>
    <xf numFmtId="3" fontId="4" fillId="8" borderId="9" xfId="0" applyNumberFormat="1" applyFont="1" applyFill="1" applyBorder="1" applyAlignment="1">
      <alignment horizontal="center" vertical="center"/>
    </xf>
    <xf numFmtId="3" fontId="4" fillId="8" borderId="3" xfId="0" applyNumberFormat="1" applyFont="1" applyFill="1" applyBorder="1" applyAlignment="1">
      <alignment horizontal="center" vertical="center"/>
    </xf>
    <xf numFmtId="3" fontId="4" fillId="8" borderId="1" xfId="0" applyNumberFormat="1" applyFont="1" applyFill="1" applyBorder="1" applyAlignment="1">
      <alignment horizontal="center" vertical="center"/>
    </xf>
    <xf numFmtId="3" fontId="4" fillId="8" borderId="16" xfId="0" applyNumberFormat="1" applyFont="1" applyFill="1" applyBorder="1" applyAlignment="1">
      <alignment horizontal="center" vertical="center"/>
    </xf>
    <xf numFmtId="3" fontId="20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7" borderId="1" xfId="0" applyNumberFormat="1" applyFont="1" applyFill="1" applyBorder="1" applyAlignment="1">
      <alignment horizontal="center" vertical="center"/>
    </xf>
    <xf numFmtId="0" fontId="1" fillId="0" borderId="34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10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3" fontId="4" fillId="7" borderId="16" xfId="0" applyNumberFormat="1" applyFont="1" applyFill="1" applyBorder="1" applyAlignment="1">
      <alignment horizontal="center" vertical="center"/>
    </xf>
    <xf numFmtId="3" fontId="4" fillId="7" borderId="18" xfId="0" applyNumberFormat="1" applyFont="1" applyFill="1" applyBorder="1" applyAlignment="1">
      <alignment horizontal="center" vertical="center"/>
    </xf>
    <xf numFmtId="3" fontId="4" fillId="7" borderId="19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3" fontId="4" fillId="8" borderId="18" xfId="0" applyNumberFormat="1" applyFont="1" applyFill="1" applyBorder="1" applyAlignment="1">
      <alignment horizontal="center" vertical="center"/>
    </xf>
    <xf numFmtId="0" fontId="1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1" fillId="0" borderId="4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103" xfId="0" applyFont="1" applyBorder="1" applyAlignment="1">
      <alignment horizontal="center"/>
    </xf>
    <xf numFmtId="0" fontId="39" fillId="18" borderId="27" xfId="0" applyFont="1" applyFill="1" applyBorder="1" applyAlignment="1">
      <alignment horizontal="center"/>
    </xf>
    <xf numFmtId="0" fontId="39" fillId="18" borderId="0" xfId="0" applyFont="1" applyFill="1" applyAlignment="1">
      <alignment horizontal="center"/>
    </xf>
    <xf numFmtId="0" fontId="36" fillId="19" borderId="0" xfId="0" applyFont="1" applyFill="1" applyAlignment="1">
      <alignment horizontal="center"/>
    </xf>
    <xf numFmtId="0" fontId="39" fillId="19" borderId="51" xfId="0" applyFont="1" applyFill="1" applyBorder="1" applyAlignment="1">
      <alignment horizontal="center"/>
    </xf>
    <xf numFmtId="0" fontId="36" fillId="18" borderId="0" xfId="0" applyFont="1" applyFill="1" applyAlignment="1">
      <alignment horizontal="center"/>
    </xf>
    <xf numFmtId="0" fontId="35" fillId="18" borderId="0" xfId="0" applyFont="1" applyFill="1" applyAlignment="1">
      <alignment horizontal="center"/>
    </xf>
    <xf numFmtId="0" fontId="35" fillId="19" borderId="0" xfId="0" applyFont="1" applyFill="1" applyAlignment="1">
      <alignment horizontal="center"/>
    </xf>
    <xf numFmtId="0" fontId="36" fillId="0" borderId="0" xfId="0" applyFont="1" applyAlignment="1">
      <alignment horizontal="center"/>
    </xf>
    <xf numFmtId="0" fontId="12" fillId="0" borderId="6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18" xfId="0" applyFont="1" applyBorder="1" applyAlignment="1">
      <alignment horizontal="left" vertical="center"/>
    </xf>
    <xf numFmtId="0" fontId="12" fillId="0" borderId="1" xfId="0" applyFont="1" applyBorder="1" applyAlignment="1">
      <alignment horizontal="center"/>
    </xf>
    <xf numFmtId="0" fontId="5" fillId="0" borderId="2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2" fillId="0" borderId="38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4" fillId="0" borderId="38" xfId="0" applyFont="1" applyBorder="1" applyAlignment="1">
      <alignment horizontal="center" vertical="center" wrapText="1"/>
    </xf>
    <xf numFmtId="0" fontId="24" fillId="0" borderId="28" xfId="0" applyFont="1" applyBorder="1" applyAlignment="1">
      <alignment horizontal="center" vertical="center" wrapText="1"/>
    </xf>
    <xf numFmtId="0" fontId="0" fillId="0" borderId="38" xfId="0" applyBorder="1" applyAlignment="1">
      <alignment vertical="center"/>
    </xf>
    <xf numFmtId="0" fontId="4" fillId="0" borderId="38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22" fillId="0" borderId="4" xfId="0" applyFont="1" applyBorder="1"/>
    <xf numFmtId="0" fontId="24" fillId="0" borderId="38" xfId="0" applyFont="1" applyBorder="1" applyAlignment="1">
      <alignment horizontal="center" vertical="center"/>
    </xf>
    <xf numFmtId="0" fontId="29" fillId="0" borderId="38" xfId="0" applyFont="1" applyBorder="1" applyAlignment="1">
      <alignment horizontal="center" vertical="center"/>
    </xf>
    <xf numFmtId="0" fontId="29" fillId="0" borderId="28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 wrapText="1"/>
    </xf>
    <xf numFmtId="0" fontId="0" fillId="20" borderId="1" xfId="0" applyFill="1" applyBorder="1"/>
    <xf numFmtId="0" fontId="0" fillId="6" borderId="1" xfId="0" applyFill="1" applyBorder="1"/>
    <xf numFmtId="0" fontId="0" fillId="12" borderId="1" xfId="0" applyFill="1" applyBorder="1" applyAlignment="1">
      <alignment horizontal="left" vertical="center"/>
    </xf>
    <xf numFmtId="167" fontId="0" fillId="0" borderId="1" xfId="0" applyNumberFormat="1" applyBorder="1" applyAlignment="1">
      <alignment horizontal="center" vertical="center"/>
    </xf>
    <xf numFmtId="167" fontId="0" fillId="0" borderId="38" xfId="0" applyNumberFormat="1" applyBorder="1" applyAlignment="1">
      <alignment horizontal="center" vertical="center"/>
    </xf>
    <xf numFmtId="167" fontId="22" fillId="0" borderId="1" xfId="0" applyNumberFormat="1" applyFont="1" applyBorder="1" applyAlignment="1">
      <alignment horizontal="center" vertical="center"/>
    </xf>
    <xf numFmtId="167" fontId="22" fillId="0" borderId="38" xfId="0" applyNumberFormat="1" applyFont="1" applyBorder="1" applyAlignment="1">
      <alignment horizontal="center" vertical="center"/>
    </xf>
    <xf numFmtId="0" fontId="0" fillId="0" borderId="79" xfId="0" applyBorder="1" applyAlignment="1">
      <alignment horizontal="center"/>
    </xf>
    <xf numFmtId="0" fontId="0" fillId="14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0" borderId="6" xfId="0" applyBorder="1"/>
    <xf numFmtId="0" fontId="9" fillId="0" borderId="6" xfId="0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/>
    </xf>
    <xf numFmtId="0" fontId="0" fillId="13" borderId="1" xfId="0" applyFill="1" applyBorder="1"/>
    <xf numFmtId="0" fontId="0" fillId="6" borderId="1" xfId="0" applyFill="1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27" fillId="0" borderId="38" xfId="0" applyFont="1" applyBorder="1" applyAlignment="1">
      <alignment horizontal="center" vertical="center" wrapText="1"/>
    </xf>
    <xf numFmtId="0" fontId="30" fillId="0" borderId="38" xfId="0" applyFont="1" applyBorder="1" applyAlignment="1">
      <alignment horizontal="center" vertical="center" wrapText="1"/>
    </xf>
    <xf numFmtId="0" fontId="30" fillId="0" borderId="28" xfId="0" applyFont="1" applyBorder="1" applyAlignment="1">
      <alignment horizontal="center" vertical="center" wrapText="1"/>
    </xf>
    <xf numFmtId="0" fontId="0" fillId="0" borderId="7" xfId="0" applyBorder="1" applyAlignment="1">
      <alignment vertical="center"/>
    </xf>
    <xf numFmtId="2" fontId="29" fillId="23" borderId="92" xfId="0" applyNumberFormat="1" applyFont="1" applyFill="1" applyBorder="1" applyAlignment="1">
      <alignment horizontal="center" vertical="center"/>
    </xf>
    <xf numFmtId="2" fontId="29" fillId="23" borderId="98" xfId="0" applyNumberFormat="1" applyFont="1" applyFill="1" applyBorder="1" applyAlignment="1">
      <alignment horizontal="center" vertical="center"/>
    </xf>
    <xf numFmtId="2" fontId="29" fillId="23" borderId="97" xfId="0" applyNumberFormat="1" applyFont="1" applyFill="1" applyBorder="1" applyAlignment="1">
      <alignment horizontal="center" vertical="center"/>
    </xf>
    <xf numFmtId="0" fontId="40" fillId="22" borderId="0" xfId="0" applyFont="1" applyFill="1"/>
    <xf numFmtId="0" fontId="24" fillId="23" borderId="96" xfId="0" applyFont="1" applyFill="1" applyBorder="1"/>
    <xf numFmtId="0" fontId="24" fillId="23" borderId="94" xfId="0" applyFont="1" applyFill="1" applyBorder="1"/>
    <xf numFmtId="0" fontId="24" fillId="23" borderId="86" xfId="0" applyFont="1" applyFill="1" applyBorder="1"/>
    <xf numFmtId="0" fontId="1" fillId="0" borderId="73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</cellXfs>
  <cellStyles count="4">
    <cellStyle name="Good" xfId="2" builtinId="26"/>
    <cellStyle name="Normal" xfId="0" builtinId="0"/>
    <cellStyle name="Per cent" xfId="1" builtinId="5"/>
    <cellStyle name="Standard 2" xfId="3" xr:uid="{BB682A06-E541-4234-9EA0-C4B9C5B796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ABC</a:t>
            </a:r>
            <a:r>
              <a:rPr lang="en-US" baseline="0"/>
              <a:t>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'ABC ANALYSIS'!$D$2</c:f>
              <c:strCache>
                <c:ptCount val="1"/>
                <c:pt idx="0">
                  <c:v>Cummilative Turnover Index (%)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E10-49C1-87D4-0E4F0945B307}"/>
              </c:ext>
            </c:extLst>
          </c:dPt>
          <c:dPt>
            <c:idx val="1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4-5E10-49C1-87D4-0E4F0945B307}"/>
              </c:ext>
            </c:extLst>
          </c:dPt>
          <c:cat>
            <c:strRef>
              <c:f>'ABC ANALYSIS'!$A$3:$A$25</c:f>
              <c:strCache>
                <c:ptCount val="23"/>
                <c:pt idx="0">
                  <c:v>METAL SHEET 1500x2000x3</c:v>
                </c:pt>
                <c:pt idx="1">
                  <c:v>METAL SHEET 1000x2000x3</c:v>
                </c:pt>
                <c:pt idx="2">
                  <c:v>DRIVE SHAFT L=1500</c:v>
                </c:pt>
                <c:pt idx="3">
                  <c:v>RAKE FOR FLAIL MOWERS L=1500</c:v>
                </c:pt>
                <c:pt idx="4">
                  <c:v>METAL SHEET 1000x1500x3</c:v>
                </c:pt>
                <c:pt idx="5">
                  <c:v>DRIVE SHAFT L=1750</c:v>
                </c:pt>
                <c:pt idx="6">
                  <c:v>RAKE FOR FLAIL MOWERS L=1750</c:v>
                </c:pt>
                <c:pt idx="7">
                  <c:v>COMPLETE SHAFT WITH HAMMERS  FOR FLAIL MOWERS L=1500</c:v>
                </c:pt>
                <c:pt idx="8">
                  <c:v>COMPLETE SHAFT WITH HAMMERS FOR FLAIL MOWERS L=1750</c:v>
                </c:pt>
                <c:pt idx="9">
                  <c:v>TRACTOR HITCHS PLATES</c:v>
                </c:pt>
                <c:pt idx="10">
                  <c:v>STAMPED TRACTOR HITCHS BRACKETS</c:v>
                </c:pt>
                <c:pt idx="11">
                  <c:v>COMPLETE FLAIL MOWERS L=1500</c:v>
                </c:pt>
                <c:pt idx="12">
                  <c:v>COMPLETE FLAIL MOWERS FRAME L=1500 </c:v>
                </c:pt>
                <c:pt idx="13">
                  <c:v>GUARD L=1500</c:v>
                </c:pt>
                <c:pt idx="14">
                  <c:v>STAMPED GUARD  L=1500</c:v>
                </c:pt>
                <c:pt idx="15">
                  <c:v>REINFORCEMENT BRACKETS</c:v>
                </c:pt>
                <c:pt idx="16">
                  <c:v>STAMPED REINFORCEMENT BRACKETS</c:v>
                </c:pt>
                <c:pt idx="17">
                  <c:v>COMPLETE FLAIL MOWERS L=1750</c:v>
                </c:pt>
                <c:pt idx="18">
                  <c:v>COMPLETE FLAIL MOWERS FRAME L=1750 </c:v>
                </c:pt>
                <c:pt idx="19">
                  <c:v>GUARD L=1750</c:v>
                </c:pt>
                <c:pt idx="20">
                  <c:v>STAMPED GUARD  L=1750</c:v>
                </c:pt>
                <c:pt idx="21">
                  <c:v>CONICAL TOOTHED WHEEL</c:v>
                </c:pt>
                <c:pt idx="22">
                  <c:v>CYLINDRICAL TOOTHED WHEEL</c:v>
                </c:pt>
              </c:strCache>
            </c:strRef>
          </c:cat>
          <c:val>
            <c:numRef>
              <c:f>'ABC ANALYSIS'!$D$3:$D$25</c:f>
              <c:numCache>
                <c:formatCode>0.00</c:formatCode>
                <c:ptCount val="23"/>
                <c:pt idx="0">
                  <c:v>0.64169733012724872</c:v>
                </c:pt>
                <c:pt idx="1">
                  <c:v>1.2833946602544972</c:v>
                </c:pt>
                <c:pt idx="2">
                  <c:v>1.9250919903817461</c:v>
                </c:pt>
                <c:pt idx="3">
                  <c:v>2.5667893205089944</c:v>
                </c:pt>
                <c:pt idx="4">
                  <c:v>3.2084866506362428</c:v>
                </c:pt>
                <c:pt idx="5">
                  <c:v>3.8501839807634921</c:v>
                </c:pt>
                <c:pt idx="6">
                  <c:v>4.4918813108907409</c:v>
                </c:pt>
                <c:pt idx="7">
                  <c:v>5.4252592456212838</c:v>
                </c:pt>
                <c:pt idx="8">
                  <c:v>6.3586371803518267</c:v>
                </c:pt>
                <c:pt idx="9">
                  <c:v>11.790879820523156</c:v>
                </c:pt>
                <c:pt idx="10">
                  <c:v>17.447109141817748</c:v>
                </c:pt>
                <c:pt idx="11">
                  <c:v>23.706741591235659</c:v>
                </c:pt>
                <c:pt idx="12">
                  <c:v>30.159970920532469</c:v>
                </c:pt>
                <c:pt idx="13">
                  <c:v>36.678384384468643</c:v>
                </c:pt>
                <c:pt idx="14">
                  <c:v>43.329826694607597</c:v>
                </c:pt>
                <c:pt idx="15">
                  <c:v>50.210759940247755</c:v>
                </c:pt>
                <c:pt idx="16">
                  <c:v>57.375413465487398</c:v>
                </c:pt>
                <c:pt idx="17">
                  <c:v>67.081303617336573</c:v>
                </c:pt>
                <c:pt idx="18">
                  <c:v>77.087375938830561</c:v>
                </c:pt>
                <c:pt idx="19">
                  <c:v>87.19451969791541</c:v>
                </c:pt>
                <c:pt idx="20">
                  <c:v>97.71840949288088</c:v>
                </c:pt>
                <c:pt idx="21">
                  <c:v>98.85920474644044</c:v>
                </c:pt>
                <c:pt idx="22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10-49C1-87D4-0E4F0945B3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4848640"/>
        <c:axId val="173037803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'ABC ANALYSIS'!$B$2</c15:sqref>
                        </c15:formulaRef>
                      </c:ext>
                    </c:extLst>
                    <c:strCache>
                      <c:ptCount val="1"/>
                      <c:pt idx="0">
                        <c:v>Turnover Index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'ABC ANALYSIS'!$A$3:$A$25</c15:sqref>
                        </c15:formulaRef>
                      </c:ext>
                    </c:extLst>
                    <c:strCache>
                      <c:ptCount val="23"/>
                      <c:pt idx="0">
                        <c:v>METAL SHEET 1500x2000x3</c:v>
                      </c:pt>
                      <c:pt idx="1">
                        <c:v>METAL SHEET 1000x2000x3</c:v>
                      </c:pt>
                      <c:pt idx="2">
                        <c:v>DRIVE SHAFT L=1500</c:v>
                      </c:pt>
                      <c:pt idx="3">
                        <c:v>RAKE FOR FLAIL MOWERS L=1500</c:v>
                      </c:pt>
                      <c:pt idx="4">
                        <c:v>METAL SHEET 1000x1500x3</c:v>
                      </c:pt>
                      <c:pt idx="5">
                        <c:v>DRIVE SHAFT L=1750</c:v>
                      </c:pt>
                      <c:pt idx="6">
                        <c:v>RAKE FOR FLAIL MOWERS L=1750</c:v>
                      </c:pt>
                      <c:pt idx="7">
                        <c:v>COMPLETE SHAFT WITH HAMMERS  FOR FLAIL MOWERS L=1500</c:v>
                      </c:pt>
                      <c:pt idx="8">
                        <c:v>COMPLETE SHAFT WITH HAMMERS FOR FLAIL MOWERS L=1750</c:v>
                      </c:pt>
                      <c:pt idx="9">
                        <c:v>TRACTOR HITCHS PLATES</c:v>
                      </c:pt>
                      <c:pt idx="10">
                        <c:v>STAMPED TRACTOR HITCHS BRACKETS</c:v>
                      </c:pt>
                      <c:pt idx="11">
                        <c:v>COMPLETE FLAIL MOWERS L=1500</c:v>
                      </c:pt>
                      <c:pt idx="12">
                        <c:v>COMPLETE FLAIL MOWERS FRAME L=1500 </c:v>
                      </c:pt>
                      <c:pt idx="13">
                        <c:v>GUARD L=1500</c:v>
                      </c:pt>
                      <c:pt idx="14">
                        <c:v>STAMPED GUARD  L=1500</c:v>
                      </c:pt>
                      <c:pt idx="15">
                        <c:v>REINFORCEMENT BRACKETS</c:v>
                      </c:pt>
                      <c:pt idx="16">
                        <c:v>STAMPED REINFORCEMENT BRACKETS</c:v>
                      </c:pt>
                      <c:pt idx="17">
                        <c:v>COMPLETE FLAIL MOWERS L=1750</c:v>
                      </c:pt>
                      <c:pt idx="18">
                        <c:v>COMPLETE FLAIL MOWERS FRAME L=1750 </c:v>
                      </c:pt>
                      <c:pt idx="19">
                        <c:v>GUARD L=1750</c:v>
                      </c:pt>
                      <c:pt idx="20">
                        <c:v>STAMPED GUARD  L=1750</c:v>
                      </c:pt>
                      <c:pt idx="21">
                        <c:v>CONICAL TOOTHED WHEEL</c:v>
                      </c:pt>
                      <c:pt idx="22">
                        <c:v>CYLINDRICAL TOOTHED WHEEL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'ABC ANALYSIS'!$B$3:$B$25</c15:sqref>
                        </c15:formulaRef>
                      </c:ext>
                    </c:extLst>
                    <c:numCache>
                      <c:formatCode>0.00</c:formatCode>
                      <c:ptCount val="23"/>
                      <c:pt idx="0">
                        <c:v>2.7500000000000004</c:v>
                      </c:pt>
                      <c:pt idx="1">
                        <c:v>2.75</c:v>
                      </c:pt>
                      <c:pt idx="2">
                        <c:v>2.75</c:v>
                      </c:pt>
                      <c:pt idx="3">
                        <c:v>2.75</c:v>
                      </c:pt>
                      <c:pt idx="4">
                        <c:v>2.7500000000000004</c:v>
                      </c:pt>
                      <c:pt idx="5">
                        <c:v>2.7500000000000004</c:v>
                      </c:pt>
                      <c:pt idx="6">
                        <c:v>2.75</c:v>
                      </c:pt>
                      <c:pt idx="7">
                        <c:v>4.0000000000000009</c:v>
                      </c:pt>
                      <c:pt idx="8">
                        <c:v>4</c:v>
                      </c:pt>
                      <c:pt idx="9">
                        <c:v>23.279927403638744</c:v>
                      </c:pt>
                      <c:pt idx="10">
                        <c:v>24.239824451935387</c:v>
                      </c:pt>
                      <c:pt idx="11">
                        <c:v>26.825714285714287</c:v>
                      </c:pt>
                      <c:pt idx="12">
                        <c:v>27.65537555228277</c:v>
                      </c:pt>
                      <c:pt idx="13">
                        <c:v>27.934722780083604</c:v>
                      </c:pt>
                      <c:pt idx="14">
                        <c:v>28.504819163350618</c:v>
                      </c:pt>
                      <c:pt idx="15">
                        <c:v>29.488304746036704</c:v>
                      </c:pt>
                      <c:pt idx="16">
                        <c:v>30.70419069766421</c:v>
                      </c:pt>
                      <c:pt idx="17">
                        <c:v>41.59468438538206</c:v>
                      </c:pt>
                      <c:pt idx="18">
                        <c:v>42.881117923074292</c:v>
                      </c:pt>
                      <c:pt idx="19">
                        <c:v>43.314260528357863</c:v>
                      </c:pt>
                      <c:pt idx="20">
                        <c:v>45.100229621363873</c:v>
                      </c:pt>
                      <c:pt idx="21">
                        <c:v>4.8888888888888884</c:v>
                      </c:pt>
                      <c:pt idx="22">
                        <c:v>4.8888888888888884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E10-49C1-87D4-0E4F0945B307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'ABC ANALYSIS'!$C$2</c15:sqref>
                        </c15:formulaRef>
                      </c:ext>
                    </c:extLst>
                    <c:strCache>
                      <c:ptCount val="1"/>
                      <c:pt idx="0">
                        <c:v>Cummilative Turnover Index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'ABC ANALYSIS'!$A$3:$A$25</c15:sqref>
                        </c15:formulaRef>
                      </c:ext>
                    </c:extLst>
                    <c:strCache>
                      <c:ptCount val="23"/>
                      <c:pt idx="0">
                        <c:v>METAL SHEET 1500x2000x3</c:v>
                      </c:pt>
                      <c:pt idx="1">
                        <c:v>METAL SHEET 1000x2000x3</c:v>
                      </c:pt>
                      <c:pt idx="2">
                        <c:v>DRIVE SHAFT L=1500</c:v>
                      </c:pt>
                      <c:pt idx="3">
                        <c:v>RAKE FOR FLAIL MOWERS L=1500</c:v>
                      </c:pt>
                      <c:pt idx="4">
                        <c:v>METAL SHEET 1000x1500x3</c:v>
                      </c:pt>
                      <c:pt idx="5">
                        <c:v>DRIVE SHAFT L=1750</c:v>
                      </c:pt>
                      <c:pt idx="6">
                        <c:v>RAKE FOR FLAIL MOWERS L=1750</c:v>
                      </c:pt>
                      <c:pt idx="7">
                        <c:v>COMPLETE SHAFT WITH HAMMERS  FOR FLAIL MOWERS L=1500</c:v>
                      </c:pt>
                      <c:pt idx="8">
                        <c:v>COMPLETE SHAFT WITH HAMMERS FOR FLAIL MOWERS L=1750</c:v>
                      </c:pt>
                      <c:pt idx="9">
                        <c:v>TRACTOR HITCHS PLATES</c:v>
                      </c:pt>
                      <c:pt idx="10">
                        <c:v>STAMPED TRACTOR HITCHS BRACKETS</c:v>
                      </c:pt>
                      <c:pt idx="11">
                        <c:v>COMPLETE FLAIL MOWERS L=1500</c:v>
                      </c:pt>
                      <c:pt idx="12">
                        <c:v>COMPLETE FLAIL MOWERS FRAME L=1500 </c:v>
                      </c:pt>
                      <c:pt idx="13">
                        <c:v>GUARD L=1500</c:v>
                      </c:pt>
                      <c:pt idx="14">
                        <c:v>STAMPED GUARD  L=1500</c:v>
                      </c:pt>
                      <c:pt idx="15">
                        <c:v>REINFORCEMENT BRACKETS</c:v>
                      </c:pt>
                      <c:pt idx="16">
                        <c:v>STAMPED REINFORCEMENT BRACKETS</c:v>
                      </c:pt>
                      <c:pt idx="17">
                        <c:v>COMPLETE FLAIL MOWERS L=1750</c:v>
                      </c:pt>
                      <c:pt idx="18">
                        <c:v>COMPLETE FLAIL MOWERS FRAME L=1750 </c:v>
                      </c:pt>
                      <c:pt idx="19">
                        <c:v>GUARD L=1750</c:v>
                      </c:pt>
                      <c:pt idx="20">
                        <c:v>STAMPED GUARD  L=1750</c:v>
                      </c:pt>
                      <c:pt idx="21">
                        <c:v>CONICAL TOOTHED WHEEL</c:v>
                      </c:pt>
                      <c:pt idx="22">
                        <c:v>CYLINDRICAL TOOTHED WHEEL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'ABC ANALYSIS'!$C$3:$C$25</c15:sqref>
                        </c15:formulaRef>
                      </c:ext>
                    </c:extLst>
                    <c:numCache>
                      <c:formatCode>0.00</c:formatCode>
                      <c:ptCount val="23"/>
                      <c:pt idx="0">
                        <c:v>2.7500000000000004</c:v>
                      </c:pt>
                      <c:pt idx="1">
                        <c:v>5.5</c:v>
                      </c:pt>
                      <c:pt idx="2">
                        <c:v>8.25</c:v>
                      </c:pt>
                      <c:pt idx="3">
                        <c:v>11</c:v>
                      </c:pt>
                      <c:pt idx="4">
                        <c:v>13.75</c:v>
                      </c:pt>
                      <c:pt idx="5">
                        <c:v>16.5</c:v>
                      </c:pt>
                      <c:pt idx="6">
                        <c:v>19.25</c:v>
                      </c:pt>
                      <c:pt idx="7">
                        <c:v>23.25</c:v>
                      </c:pt>
                      <c:pt idx="8">
                        <c:v>27.25</c:v>
                      </c:pt>
                      <c:pt idx="9">
                        <c:v>50.529927403638744</c:v>
                      </c:pt>
                      <c:pt idx="10">
                        <c:v>74.769751855574128</c:v>
                      </c:pt>
                      <c:pt idx="11">
                        <c:v>101.59546614128841</c:v>
                      </c:pt>
                      <c:pt idx="12">
                        <c:v>129.25084169357118</c:v>
                      </c:pt>
                      <c:pt idx="13">
                        <c:v>157.18556447365478</c:v>
                      </c:pt>
                      <c:pt idx="14">
                        <c:v>185.6903836370054</c:v>
                      </c:pt>
                      <c:pt idx="15">
                        <c:v>215.1786883830421</c:v>
                      </c:pt>
                      <c:pt idx="16">
                        <c:v>245.88287908070632</c:v>
                      </c:pt>
                      <c:pt idx="17">
                        <c:v>287.47756346608838</c:v>
                      </c:pt>
                      <c:pt idx="18">
                        <c:v>330.35868138916265</c:v>
                      </c:pt>
                      <c:pt idx="19">
                        <c:v>373.67294191752052</c:v>
                      </c:pt>
                      <c:pt idx="20">
                        <c:v>418.77317153888441</c:v>
                      </c:pt>
                      <c:pt idx="21">
                        <c:v>423.66206042777333</c:v>
                      </c:pt>
                      <c:pt idx="22">
                        <c:v>428.55094931666224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E10-49C1-87D4-0E4F0945B307}"/>
                  </c:ext>
                </c:extLst>
              </c15:ser>
            </c15:filteredLineSeries>
          </c:ext>
        </c:extLst>
      </c:lineChart>
      <c:catAx>
        <c:axId val="1684848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378032"/>
        <c:crosses val="autoZero"/>
        <c:auto val="1"/>
        <c:lblAlgn val="ctr"/>
        <c:lblOffset val="100"/>
        <c:noMultiLvlLbl val="0"/>
      </c:catAx>
      <c:valAx>
        <c:axId val="173037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848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ABC</a:t>
            </a:r>
            <a:r>
              <a:rPr lang="en-US" baseline="0"/>
              <a:t>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'ABC ANALYSIS'!$D$30</c:f>
              <c:strCache>
                <c:ptCount val="1"/>
                <c:pt idx="0">
                  <c:v>Cummilative Turnover Index (%)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'ABC ANALYSIS'!$A$31:$A$41</c:f>
              <c:strCache>
                <c:ptCount val="11"/>
                <c:pt idx="0">
                  <c:v>METAL SHEET 1500x2000x3</c:v>
                </c:pt>
                <c:pt idx="1">
                  <c:v>METAL SHEET 1000x1500x3</c:v>
                </c:pt>
                <c:pt idx="2">
                  <c:v>METAL SHEET 1000x2000x3</c:v>
                </c:pt>
                <c:pt idx="3">
                  <c:v>CONICAL TOOTHED WHEEL</c:v>
                </c:pt>
                <c:pt idx="4">
                  <c:v>CYLINDRICAL TOOTHED WHEEL</c:v>
                </c:pt>
                <c:pt idx="5">
                  <c:v>DRIVE SHAFT L=1500</c:v>
                </c:pt>
                <c:pt idx="6">
                  <c:v>DRIVE SHAFT L=1750</c:v>
                </c:pt>
                <c:pt idx="7">
                  <c:v>COMPLETE SHAFT WITH HAMMERS  FOR FLAIL MOWERS L=1500</c:v>
                </c:pt>
                <c:pt idx="8">
                  <c:v>COMPLETE SHAFT WITH HAMMERS FOR FLAIL MOWERS L=1750</c:v>
                </c:pt>
                <c:pt idx="9">
                  <c:v>RAKE FOR FLAIL MOWERS L=1500</c:v>
                </c:pt>
                <c:pt idx="10">
                  <c:v>RAKE FOR FLAIL MOWERS L=1750</c:v>
                </c:pt>
              </c:strCache>
            </c:strRef>
          </c:cat>
          <c:val>
            <c:numRef>
              <c:f>'ABC ANALYSIS'!$D$31:$D$41</c:f>
              <c:numCache>
                <c:formatCode>0.00</c:formatCode>
                <c:ptCount val="11"/>
                <c:pt idx="0">
                  <c:v>7.4268567141785455</c:v>
                </c:pt>
                <c:pt idx="1">
                  <c:v>14.853713428357091</c:v>
                </c:pt>
                <c:pt idx="2">
                  <c:v>22.280570142535634</c:v>
                </c:pt>
                <c:pt idx="3">
                  <c:v>35.483870967741936</c:v>
                </c:pt>
                <c:pt idx="4">
                  <c:v>48.687171792948234</c:v>
                </c:pt>
                <c:pt idx="5">
                  <c:v>56.114028507126775</c:v>
                </c:pt>
                <c:pt idx="6">
                  <c:v>63.540885221305331</c:v>
                </c:pt>
                <c:pt idx="7">
                  <c:v>74.343585896474124</c:v>
                </c:pt>
                <c:pt idx="8">
                  <c:v>85.146286571642918</c:v>
                </c:pt>
                <c:pt idx="9">
                  <c:v>92.573143285821459</c:v>
                </c:pt>
                <c:pt idx="1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C-48E1-9DD7-1A1B7B0BD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4848640"/>
        <c:axId val="173037803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'ABC ANALYSIS'!$B$30</c15:sqref>
                        </c15:formulaRef>
                      </c:ext>
                    </c:extLst>
                    <c:strCache>
                      <c:ptCount val="1"/>
                      <c:pt idx="0">
                        <c:v>Turnover Index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'ABC ANALYSIS'!$A$31:$A$41</c15:sqref>
                        </c15:formulaRef>
                      </c:ext>
                    </c:extLst>
                    <c:strCache>
                      <c:ptCount val="11"/>
                      <c:pt idx="0">
                        <c:v>METAL SHEET 1500x2000x3</c:v>
                      </c:pt>
                      <c:pt idx="1">
                        <c:v>METAL SHEET 1000x1500x3</c:v>
                      </c:pt>
                      <c:pt idx="2">
                        <c:v>METAL SHEET 1000x2000x3</c:v>
                      </c:pt>
                      <c:pt idx="3">
                        <c:v>CONICAL TOOTHED WHEEL</c:v>
                      </c:pt>
                      <c:pt idx="4">
                        <c:v>CYLINDRICAL TOOTHED WHEEL</c:v>
                      </c:pt>
                      <c:pt idx="5">
                        <c:v>DRIVE SHAFT L=1500</c:v>
                      </c:pt>
                      <c:pt idx="6">
                        <c:v>DRIVE SHAFT L=1750</c:v>
                      </c:pt>
                      <c:pt idx="7">
                        <c:v>COMPLETE SHAFT WITH HAMMERS  FOR FLAIL MOWERS L=1500</c:v>
                      </c:pt>
                      <c:pt idx="8">
                        <c:v>COMPLETE SHAFT WITH HAMMERS FOR FLAIL MOWERS L=1750</c:v>
                      </c:pt>
                      <c:pt idx="9">
                        <c:v>RAKE FOR FLAIL MOWERS L=1500</c:v>
                      </c:pt>
                      <c:pt idx="10">
                        <c:v>RAKE FOR FLAIL MOWERS L=1750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'ABC ANALYSIS'!$B$31:$B$41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2.7500000000000004</c:v>
                      </c:pt>
                      <c:pt idx="1">
                        <c:v>2.7500000000000004</c:v>
                      </c:pt>
                      <c:pt idx="2">
                        <c:v>2.75</c:v>
                      </c:pt>
                      <c:pt idx="3" formatCode="0.00">
                        <c:v>4.8888888888888884</c:v>
                      </c:pt>
                      <c:pt idx="4" formatCode="0.00">
                        <c:v>4.8888888888888884</c:v>
                      </c:pt>
                      <c:pt idx="5">
                        <c:v>2.75</c:v>
                      </c:pt>
                      <c:pt idx="6">
                        <c:v>2.7500000000000004</c:v>
                      </c:pt>
                      <c:pt idx="7">
                        <c:v>4.0000000000000009</c:v>
                      </c:pt>
                      <c:pt idx="8">
                        <c:v>4</c:v>
                      </c:pt>
                      <c:pt idx="9">
                        <c:v>2.75</c:v>
                      </c:pt>
                      <c:pt idx="10">
                        <c:v>2.75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91DC-48E1-9DD7-1A1B7B0BD576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'ABC ANALYSIS'!$C$30</c15:sqref>
                        </c15:formulaRef>
                      </c:ext>
                    </c:extLst>
                    <c:strCache>
                      <c:ptCount val="1"/>
                      <c:pt idx="0">
                        <c:v>Cummilative Turnover Index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'ABC ANALYSIS'!$A$31:$A$41</c15:sqref>
                        </c15:formulaRef>
                      </c:ext>
                    </c:extLst>
                    <c:strCache>
                      <c:ptCount val="11"/>
                      <c:pt idx="0">
                        <c:v>METAL SHEET 1500x2000x3</c:v>
                      </c:pt>
                      <c:pt idx="1">
                        <c:v>METAL SHEET 1000x1500x3</c:v>
                      </c:pt>
                      <c:pt idx="2">
                        <c:v>METAL SHEET 1000x2000x3</c:v>
                      </c:pt>
                      <c:pt idx="3">
                        <c:v>CONICAL TOOTHED WHEEL</c:v>
                      </c:pt>
                      <c:pt idx="4">
                        <c:v>CYLINDRICAL TOOTHED WHEEL</c:v>
                      </c:pt>
                      <c:pt idx="5">
                        <c:v>DRIVE SHAFT L=1500</c:v>
                      </c:pt>
                      <c:pt idx="6">
                        <c:v>DRIVE SHAFT L=1750</c:v>
                      </c:pt>
                      <c:pt idx="7">
                        <c:v>COMPLETE SHAFT WITH HAMMERS  FOR FLAIL MOWERS L=1500</c:v>
                      </c:pt>
                      <c:pt idx="8">
                        <c:v>COMPLETE SHAFT WITH HAMMERS FOR FLAIL MOWERS L=1750</c:v>
                      </c:pt>
                      <c:pt idx="9">
                        <c:v>RAKE FOR FLAIL MOWERS L=1500</c:v>
                      </c:pt>
                      <c:pt idx="10">
                        <c:v>RAKE FOR FLAIL MOWERS L=1750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'ABC ANALYSIS'!$C$31:$C$41</c15:sqref>
                        </c15:formulaRef>
                      </c:ext>
                    </c:extLst>
                    <c:numCache>
                      <c:formatCode>0.00</c:formatCode>
                      <c:ptCount val="11"/>
                      <c:pt idx="0">
                        <c:v>2.7500000000000004</c:v>
                      </c:pt>
                      <c:pt idx="1">
                        <c:v>5.5000000000000009</c:v>
                      </c:pt>
                      <c:pt idx="2">
                        <c:v>8.25</c:v>
                      </c:pt>
                      <c:pt idx="3">
                        <c:v>13.138888888888889</c:v>
                      </c:pt>
                      <c:pt idx="4">
                        <c:v>18.027777777777779</c:v>
                      </c:pt>
                      <c:pt idx="5">
                        <c:v>20.777777777777779</c:v>
                      </c:pt>
                      <c:pt idx="6">
                        <c:v>23.527777777777779</c:v>
                      </c:pt>
                      <c:pt idx="7">
                        <c:v>27.527777777777779</c:v>
                      </c:pt>
                      <c:pt idx="8">
                        <c:v>31.527777777777779</c:v>
                      </c:pt>
                      <c:pt idx="9">
                        <c:v>34.277777777777779</c:v>
                      </c:pt>
                      <c:pt idx="10">
                        <c:v>37.027777777777779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1DC-48E1-9DD7-1A1B7B0BD576}"/>
                  </c:ext>
                </c:extLst>
              </c15:ser>
            </c15:filteredLineSeries>
          </c:ext>
        </c:extLst>
      </c:lineChart>
      <c:catAx>
        <c:axId val="1684848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378032"/>
        <c:crosses val="autoZero"/>
        <c:auto val="1"/>
        <c:lblAlgn val="ctr"/>
        <c:lblOffset val="100"/>
        <c:noMultiLvlLbl val="0"/>
      </c:catAx>
      <c:valAx>
        <c:axId val="173037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848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ABC</a:t>
            </a:r>
            <a:r>
              <a:rPr lang="en-US" baseline="0"/>
              <a:t>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'ABC ANALYSIS'!$D$46</c:f>
              <c:strCache>
                <c:ptCount val="1"/>
                <c:pt idx="0">
                  <c:v>Cummilative Turnover Index (%)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'ABC ANALYSIS'!$A$47:$A$50</c:f>
              <c:strCache>
                <c:ptCount val="4"/>
                <c:pt idx="0">
                  <c:v>STAMPED GUARD  L=1500</c:v>
                </c:pt>
                <c:pt idx="1">
                  <c:v>STAMPED GUARD  L=1750</c:v>
                </c:pt>
                <c:pt idx="2">
                  <c:v>STAMPED REINFORCEMENT BRACKETS</c:v>
                </c:pt>
                <c:pt idx="3">
                  <c:v>STAMPED TRACTOR HITCHS BRACKETS</c:v>
                </c:pt>
              </c:strCache>
            </c:strRef>
          </c:cat>
          <c:val>
            <c:numRef>
              <c:f>'ABC ANALYSIS'!$D$47:$D$50</c:f>
              <c:numCache>
                <c:formatCode>General</c:formatCode>
                <c:ptCount val="4"/>
                <c:pt idx="0">
                  <c:v>22.174272056866933</c:v>
                </c:pt>
                <c:pt idx="1">
                  <c:v>57.258331202104387</c:v>
                </c:pt>
                <c:pt idx="2">
                  <c:v>81.143523173127548</c:v>
                </c:pt>
                <c:pt idx="3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6CE-43C9-8E2D-BD62F5286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4848640"/>
        <c:axId val="173037803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'ABC ANALYSIS'!$B$46</c15:sqref>
                        </c15:formulaRef>
                      </c:ext>
                    </c:extLst>
                    <c:strCache>
                      <c:ptCount val="1"/>
                      <c:pt idx="0">
                        <c:v>Turnover Index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'ABC ANALYSIS'!$A$47:$A$50</c15:sqref>
                        </c15:formulaRef>
                      </c:ext>
                    </c:extLst>
                    <c:strCache>
                      <c:ptCount val="4"/>
                      <c:pt idx="0">
                        <c:v>STAMPED GUARD  L=1500</c:v>
                      </c:pt>
                      <c:pt idx="1">
                        <c:v>STAMPED GUARD  L=1750</c:v>
                      </c:pt>
                      <c:pt idx="2">
                        <c:v>STAMPED REINFORCEMENT BRACKETS</c:v>
                      </c:pt>
                      <c:pt idx="3">
                        <c:v>STAMPED TRACTOR HITCHS BRACKETS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'ABC ANALYSIS'!$B$47:$B$50</c15:sqref>
                        </c15:formulaRef>
                      </c:ext>
                    </c:extLst>
                    <c:numCache>
                      <c:formatCode>0.00</c:formatCode>
                      <c:ptCount val="4"/>
                      <c:pt idx="0">
                        <c:v>28.504819163350618</c:v>
                      </c:pt>
                      <c:pt idx="1">
                        <c:v>45.100229621363873</c:v>
                      </c:pt>
                      <c:pt idx="2">
                        <c:v>30.70419069766421</c:v>
                      </c:pt>
                      <c:pt idx="3">
                        <c:v>24.239824451935387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56CE-43C9-8E2D-BD62F52868F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'ABC ANALYSIS'!$C$46</c15:sqref>
                        </c15:formulaRef>
                      </c:ext>
                    </c:extLst>
                    <c:strCache>
                      <c:ptCount val="1"/>
                      <c:pt idx="0">
                        <c:v>Cummilative Turnover Index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'ABC ANALYSIS'!$A$47:$A$50</c15:sqref>
                        </c15:formulaRef>
                      </c:ext>
                    </c:extLst>
                    <c:strCache>
                      <c:ptCount val="4"/>
                      <c:pt idx="0">
                        <c:v>STAMPED GUARD  L=1500</c:v>
                      </c:pt>
                      <c:pt idx="1">
                        <c:v>STAMPED GUARD  L=1750</c:v>
                      </c:pt>
                      <c:pt idx="2">
                        <c:v>STAMPED REINFORCEMENT BRACKETS</c:v>
                      </c:pt>
                      <c:pt idx="3">
                        <c:v>STAMPED TRACTOR HITCHS BRACKETS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'ABC ANALYSIS'!$C$47:$C$50</c15:sqref>
                        </c15:formulaRef>
                      </c:ext>
                    </c:extLst>
                    <c:numCache>
                      <c:formatCode>0.00</c:formatCode>
                      <c:ptCount val="4"/>
                      <c:pt idx="0">
                        <c:v>28.504819163350618</c:v>
                      </c:pt>
                      <c:pt idx="1">
                        <c:v>73.605048784714484</c:v>
                      </c:pt>
                      <c:pt idx="2">
                        <c:v>104.3092394823787</c:v>
                      </c:pt>
                      <c:pt idx="3">
                        <c:v>128.54906393431409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6CE-43C9-8E2D-BD62F52868FE}"/>
                  </c:ext>
                </c:extLst>
              </c15:ser>
            </c15:filteredLineSeries>
          </c:ext>
        </c:extLst>
      </c:lineChart>
      <c:catAx>
        <c:axId val="1684848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378032"/>
        <c:crosses val="autoZero"/>
        <c:auto val="1"/>
        <c:lblAlgn val="ctr"/>
        <c:lblOffset val="100"/>
        <c:noMultiLvlLbl val="0"/>
      </c:catAx>
      <c:valAx>
        <c:axId val="173037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848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ABC</a:t>
            </a:r>
            <a:r>
              <a:rPr lang="en-US" baseline="0"/>
              <a:t> ANALYSIS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5"/>
          <c:order val="2"/>
          <c:tx>
            <c:strRef>
              <c:f>'ABC ANALYSIS'!$D$55</c:f>
              <c:strCache>
                <c:ptCount val="1"/>
                <c:pt idx="0">
                  <c:v>Cummilative Turnover Index (%)</c:v>
                </c:pt>
              </c:strCache>
            </c:strRef>
          </c:tx>
          <c:marker>
            <c:symbol val="none"/>
          </c:marker>
          <c:dPt>
            <c:idx val="0"/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F063-4194-A44B-CB4D89BC2F47}"/>
              </c:ext>
            </c:extLst>
          </c:dPt>
          <c:cat>
            <c:strRef>
              <c:f>'ABC ANALYSIS'!$A$56:$A$59</c:f>
              <c:strCache>
                <c:ptCount val="4"/>
                <c:pt idx="0">
                  <c:v>GUARD L=1500</c:v>
                </c:pt>
                <c:pt idx="1">
                  <c:v>GUARD L=1750</c:v>
                </c:pt>
                <c:pt idx="2">
                  <c:v>REINFORCEMENT BRACKETS</c:v>
                </c:pt>
                <c:pt idx="3">
                  <c:v>TRACTOR HITCHS PLATES</c:v>
                </c:pt>
              </c:strCache>
            </c:strRef>
          </c:cat>
          <c:val>
            <c:numRef>
              <c:f>'ABC ANALYSIS'!$D$56:$D$59</c:f>
              <c:numCache>
                <c:formatCode>General</c:formatCode>
                <c:ptCount val="4"/>
                <c:pt idx="0">
                  <c:v>22.524875015854327</c:v>
                </c:pt>
                <c:pt idx="1">
                  <c:v>57.450881351632731</c:v>
                </c:pt>
                <c:pt idx="2">
                  <c:v>81.228471129880489</c:v>
                </c:pt>
                <c:pt idx="3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063-4194-A44B-CB4D89BC2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4848640"/>
        <c:axId val="1730378032"/>
        <c:extLst>
          <c:ext xmlns:c15="http://schemas.microsoft.com/office/drawing/2012/chart" uri="{02D57815-91ED-43cb-92C2-25804820EDAC}">
            <c15:filteredLineSeries>
              <c15:ser>
                <c:idx val="3"/>
                <c:order val="0"/>
                <c:tx>
                  <c:strRef>
                    <c:extLst>
                      <c:ext uri="{02D57815-91ED-43cb-92C2-25804820EDAC}">
                        <c15:formulaRef>
                          <c15:sqref>'ABC ANALYSIS'!$B$55</c15:sqref>
                        </c15:formulaRef>
                      </c:ext>
                    </c:extLst>
                    <c:strCache>
                      <c:ptCount val="1"/>
                      <c:pt idx="0">
                        <c:v>Turnover Index</c:v>
                      </c:pt>
                    </c:strCache>
                  </c:strRef>
                </c:tx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'ABC ANALYSIS'!$A$56:$A$59</c15:sqref>
                        </c15:formulaRef>
                      </c:ext>
                    </c:extLst>
                    <c:strCache>
                      <c:ptCount val="4"/>
                      <c:pt idx="0">
                        <c:v>GUARD L=1500</c:v>
                      </c:pt>
                      <c:pt idx="1">
                        <c:v>GUARD L=1750</c:v>
                      </c:pt>
                      <c:pt idx="2">
                        <c:v>REINFORCEMENT BRACKETS</c:v>
                      </c:pt>
                      <c:pt idx="3">
                        <c:v>TRACTOR HITCHS PLATES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'ABC ANALYSIS'!$B$56:$B$59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27.934722780083604</c:v>
                      </c:pt>
                      <c:pt idx="1">
                        <c:v>43.314260528357863</c:v>
                      </c:pt>
                      <c:pt idx="2">
                        <c:v>29.488304746036704</c:v>
                      </c:pt>
                      <c:pt idx="3">
                        <c:v>23.279927403638744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F-F063-4194-A44B-CB4D89BC2F47}"/>
                  </c:ext>
                </c:extLst>
              </c15:ser>
            </c15:filteredLineSeries>
            <c15:filteredLineSeries>
              <c15:ser>
                <c:idx val="4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'ABC ANALYSIS'!$C$55</c15:sqref>
                        </c15:formulaRef>
                      </c:ext>
                    </c:extLst>
                    <c:strCache>
                      <c:ptCount val="1"/>
                      <c:pt idx="0">
                        <c:v>Cummilative Turnover Index</c:v>
                      </c:pt>
                    </c:strCache>
                  </c:strRef>
                </c:tx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'ABC ANALYSIS'!$A$56:$A$59</c15:sqref>
                        </c15:formulaRef>
                      </c:ext>
                    </c:extLst>
                    <c:strCache>
                      <c:ptCount val="4"/>
                      <c:pt idx="0">
                        <c:v>GUARD L=1500</c:v>
                      </c:pt>
                      <c:pt idx="1">
                        <c:v>GUARD L=1750</c:v>
                      </c:pt>
                      <c:pt idx="2">
                        <c:v>REINFORCEMENT BRACKETS</c:v>
                      </c:pt>
                      <c:pt idx="3">
                        <c:v>TRACTOR HITCHS PLATES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'ABC ANALYSIS'!$C$56:$C$59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27.934722780083604</c:v>
                      </c:pt>
                      <c:pt idx="1">
                        <c:v>71.248983308441467</c:v>
                      </c:pt>
                      <c:pt idx="2">
                        <c:v>100.73728805447817</c:v>
                      </c:pt>
                      <c:pt idx="3">
                        <c:v>124.01721545811691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F063-4194-A44B-CB4D89BC2F47}"/>
                  </c:ext>
                </c:extLst>
              </c15:ser>
            </c15:filteredLineSeries>
          </c:ext>
        </c:extLst>
      </c:lineChart>
      <c:catAx>
        <c:axId val="1684848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378032"/>
        <c:crosses val="autoZero"/>
        <c:auto val="1"/>
        <c:lblAlgn val="ctr"/>
        <c:lblOffset val="100"/>
        <c:noMultiLvlLbl val="0"/>
      </c:catAx>
      <c:valAx>
        <c:axId val="173037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848640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ABC</a:t>
            </a:r>
            <a:r>
              <a:rPr lang="en-US" baseline="0"/>
              <a:t>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'ABC ANALYSIS'!$D$69</c:f>
              <c:strCache>
                <c:ptCount val="1"/>
                <c:pt idx="0">
                  <c:v>Cummilative Turnover Index (%)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'ABC ANALYSIS'!$A$70:$A$71</c:f>
              <c:strCache>
                <c:ptCount val="2"/>
                <c:pt idx="0">
                  <c:v>COMPLETE FLAIL MOWERS FRAME L=1500 </c:v>
                </c:pt>
                <c:pt idx="1">
                  <c:v>COMPLETE FLAIL MOWERS FRAME L=1750 </c:v>
                </c:pt>
              </c:strCache>
            </c:strRef>
          </c:cat>
          <c:val>
            <c:numRef>
              <c:f>'ABC ANALYSIS'!$D$70:$D$71</c:f>
              <c:numCache>
                <c:formatCode>General</c:formatCode>
                <c:ptCount val="2"/>
                <c:pt idx="0">
                  <c:v>39.207187924566412</c:v>
                </c:pt>
                <c:pt idx="1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96C-42E3-A2F1-8BB125D3A1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4848640"/>
        <c:axId val="173037803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'ABC ANALYSIS'!$B$69</c15:sqref>
                        </c15:formulaRef>
                      </c:ext>
                    </c:extLst>
                    <c:strCache>
                      <c:ptCount val="1"/>
                      <c:pt idx="0">
                        <c:v>Turnover Index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'ABC ANALYSIS'!$A$70:$A$71</c15:sqref>
                        </c15:formulaRef>
                      </c:ext>
                    </c:extLst>
                    <c:strCache>
                      <c:ptCount val="2"/>
                      <c:pt idx="0">
                        <c:v>COMPLETE FLAIL MOWERS FRAME L=1500 </c:v>
                      </c:pt>
                      <c:pt idx="1">
                        <c:v>COMPLETE FLAIL MOWERS FRAME L=1750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'ABC ANALYSIS'!$B$70:$B$71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27.65537555228277</c:v>
                      </c:pt>
                      <c:pt idx="1">
                        <c:v>42.881117923074292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A96C-42E3-A2F1-8BB125D3A1F6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'ABC ANALYSIS'!$C$69</c15:sqref>
                        </c15:formulaRef>
                      </c:ext>
                    </c:extLst>
                    <c:strCache>
                      <c:ptCount val="1"/>
                      <c:pt idx="0">
                        <c:v>Cummilative Turnover Index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'ABC ANALYSIS'!$A$70:$A$71</c15:sqref>
                        </c15:formulaRef>
                      </c:ext>
                    </c:extLst>
                    <c:strCache>
                      <c:ptCount val="2"/>
                      <c:pt idx="0">
                        <c:v>COMPLETE FLAIL MOWERS FRAME L=1500 </c:v>
                      </c:pt>
                      <c:pt idx="1">
                        <c:v>COMPLETE FLAIL MOWERS FRAME L=1750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'ABC ANALYSIS'!$C$70:$C$71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27.65537555228277</c:v>
                      </c:pt>
                      <c:pt idx="1">
                        <c:v>70.536493475357062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96C-42E3-A2F1-8BB125D3A1F6}"/>
                  </c:ext>
                </c:extLst>
              </c15:ser>
            </c15:filteredLineSeries>
          </c:ext>
        </c:extLst>
      </c:lineChart>
      <c:catAx>
        <c:axId val="1684848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378032"/>
        <c:crosses val="autoZero"/>
        <c:auto val="1"/>
        <c:lblAlgn val="ctr"/>
        <c:lblOffset val="100"/>
        <c:noMultiLvlLbl val="0"/>
      </c:catAx>
      <c:valAx>
        <c:axId val="173037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848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45</xdr:row>
      <xdr:rowOff>1</xdr:rowOff>
    </xdr:from>
    <xdr:to>
      <xdr:col>29</xdr:col>
      <xdr:colOff>519545</xdr:colOff>
      <xdr:row>71</xdr:row>
      <xdr:rowOff>142963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6B1CA1-7EDE-4D0E-2799-1656AC3F0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06545" y="8572501"/>
          <a:ext cx="10217727" cy="50959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34636</xdr:rowOff>
    </xdr:from>
    <xdr:to>
      <xdr:col>12</xdr:col>
      <xdr:colOff>17317</xdr:colOff>
      <xdr:row>72</xdr:row>
      <xdr:rowOff>38801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89E048-6C45-B3C0-46D4-49FCD1F2F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607136"/>
          <a:ext cx="10217726" cy="51476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404980</xdr:colOff>
      <xdr:row>5</xdr:row>
      <xdr:rowOff>108137</xdr:rowOff>
    </xdr:from>
    <xdr:to>
      <xdr:col>11</xdr:col>
      <xdr:colOff>496420</xdr:colOff>
      <xdr:row>20</xdr:row>
      <xdr:rowOff>79450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8E9558-F34A-C0B9-8407-6B98A08E79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309283</xdr:colOff>
      <xdr:row>28</xdr:row>
      <xdr:rowOff>138953</xdr:rowOff>
    </xdr:from>
    <xdr:to>
      <xdr:col>10</xdr:col>
      <xdr:colOff>560295</xdr:colOff>
      <xdr:row>40</xdr:row>
      <xdr:rowOff>35860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D8290F9-9102-47E0-AD14-3890CCEC06A9}"/>
            </a:ext>
            <a:ext uri="{147F2762-F138-4A5C-976F-8EAC2B608ADB}">
              <a16:predDERef xmlns:a16="http://schemas.microsoft.com/office/drawing/2014/main" pred="{AF8E9558-F34A-C0B9-8407-6B98A08E79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506506</xdr:colOff>
      <xdr:row>42</xdr:row>
      <xdr:rowOff>107576</xdr:rowOff>
    </xdr:from>
    <xdr:to>
      <xdr:col>10</xdr:col>
      <xdr:colOff>259976</xdr:colOff>
      <xdr:row>53</xdr:row>
      <xdr:rowOff>35858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9975650-B1A8-4B06-9841-72DF82B2E8B5}"/>
            </a:ext>
            <a:ext uri="{147F2762-F138-4A5C-976F-8EAC2B608ADB}">
              <a16:predDERef xmlns:a16="http://schemas.microsoft.com/office/drawing/2014/main" pred="{CD8290F9-9102-47E0-AD14-3890CCEC06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22412</xdr:colOff>
      <xdr:row>53</xdr:row>
      <xdr:rowOff>192741</xdr:rowOff>
    </xdr:from>
    <xdr:to>
      <xdr:col>10</xdr:col>
      <xdr:colOff>493059</xdr:colOff>
      <xdr:row>63</xdr:row>
      <xdr:rowOff>134471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B7F9B0D-424D-4550-B6A9-F526F381F425}"/>
            </a:ext>
            <a:ext uri="{147F2762-F138-4A5C-976F-8EAC2B608ADB}">
              <a16:predDERef xmlns:a16="http://schemas.microsoft.com/office/drawing/2014/main" pred="{09975650-B1A8-4B06-9841-72DF82B2E8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493060</xdr:colOff>
      <xdr:row>65</xdr:row>
      <xdr:rowOff>85165</xdr:rowOff>
    </xdr:from>
    <xdr:to>
      <xdr:col>10</xdr:col>
      <xdr:colOff>322730</xdr:colOff>
      <xdr:row>75</xdr:row>
      <xdr:rowOff>26896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879CF38-AABB-44B7-B2DD-09D1B70064AC}"/>
            </a:ext>
            <a:ext uri="{147F2762-F138-4A5C-976F-8EAC2B608ADB}">
              <a16:predDERef xmlns:a16="http://schemas.microsoft.com/office/drawing/2014/main" pred="{1B7F9B0D-424D-4550-B6A9-F526F381F4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361950</xdr:colOff>
      <xdr:row>3</xdr:row>
      <xdr:rowOff>47625</xdr:rowOff>
    </xdr:from>
    <xdr:to>
      <xdr:col>35</xdr:col>
      <xdr:colOff>104775</xdr:colOff>
      <xdr:row>13</xdr:row>
      <xdr:rowOff>38100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6CF7B134-B904-9526-081E-9B6792630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73750" y="590550"/>
          <a:ext cx="2695575" cy="1809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30</xdr:row>
      <xdr:rowOff>76200</xdr:rowOff>
    </xdr:from>
    <xdr:to>
      <xdr:col>1</xdr:col>
      <xdr:colOff>257175</xdr:colOff>
      <xdr:row>33</xdr:row>
      <xdr:rowOff>95250</xdr:rowOff>
    </xdr:to>
    <xdr:sp macro="" textlink="">
      <xdr:nvSpPr>
        <xdr:cNvPr id="2" name="Овал 1">
          <a:extLst>
            <a:ext uri="{FF2B5EF4-FFF2-40B4-BE49-F238E27FC236}">
              <a16:creationId xmlns:a16="http://schemas.microsoft.com/office/drawing/2014/main" id="{5520CC84-4839-B753-13FF-6805B74FFB74}"/>
            </a:ext>
          </a:extLst>
        </xdr:cNvPr>
        <xdr:cNvSpPr/>
      </xdr:nvSpPr>
      <xdr:spPr>
        <a:xfrm>
          <a:off x="285750" y="6067425"/>
          <a:ext cx="581025" cy="5905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600" b="1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</a:t>
          </a:r>
        </a:p>
      </xdr:txBody>
    </xdr:sp>
    <xdr:clientData/>
  </xdr:twoCellAnchor>
  <xdr:twoCellAnchor>
    <xdr:from>
      <xdr:col>2</xdr:col>
      <xdr:colOff>180975</xdr:colOff>
      <xdr:row>34</xdr:row>
      <xdr:rowOff>57150</xdr:rowOff>
    </xdr:from>
    <xdr:to>
      <xdr:col>3</xdr:col>
      <xdr:colOff>180975</xdr:colOff>
      <xdr:row>37</xdr:row>
      <xdr:rowOff>104775</xdr:rowOff>
    </xdr:to>
    <xdr:sp macro="" textlink="">
      <xdr:nvSpPr>
        <xdr:cNvPr id="3" name="Овал 2">
          <a:extLst>
            <a:ext uri="{FF2B5EF4-FFF2-40B4-BE49-F238E27FC236}">
              <a16:creationId xmlns:a16="http://schemas.microsoft.com/office/drawing/2014/main" id="{2F730E38-C740-BC0C-7259-6A0E5C4AC42D}"/>
            </a:ext>
            <a:ext uri="{147F2762-F138-4A5C-976F-8EAC2B608ADB}">
              <a16:predDERef xmlns:a16="http://schemas.microsoft.com/office/drawing/2014/main" pred="{5520CC84-4839-B753-13FF-6805B74FFB74}"/>
            </a:ext>
          </a:extLst>
        </xdr:cNvPr>
        <xdr:cNvSpPr/>
      </xdr:nvSpPr>
      <xdr:spPr>
        <a:xfrm>
          <a:off x="1400175" y="6810375"/>
          <a:ext cx="609600" cy="61912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</a:t>
          </a:r>
        </a:p>
      </xdr:txBody>
    </xdr:sp>
    <xdr:clientData/>
  </xdr:twoCellAnchor>
  <xdr:twoCellAnchor>
    <xdr:from>
      <xdr:col>2</xdr:col>
      <xdr:colOff>180975</xdr:colOff>
      <xdr:row>28</xdr:row>
      <xdr:rowOff>180975</xdr:rowOff>
    </xdr:from>
    <xdr:to>
      <xdr:col>3</xdr:col>
      <xdr:colOff>190500</xdr:colOff>
      <xdr:row>32</xdr:row>
      <xdr:rowOff>19050</xdr:rowOff>
    </xdr:to>
    <xdr:sp macro="" textlink="">
      <xdr:nvSpPr>
        <xdr:cNvPr id="4" name="Блок-схема: узел 3">
          <a:extLst>
            <a:ext uri="{FF2B5EF4-FFF2-40B4-BE49-F238E27FC236}">
              <a16:creationId xmlns:a16="http://schemas.microsoft.com/office/drawing/2014/main" id="{6AEBA7C6-8DD4-E8BF-3DF6-B5849A7EB428}"/>
            </a:ext>
            <a:ext uri="{147F2762-F138-4A5C-976F-8EAC2B608ADB}">
              <a16:predDERef xmlns:a16="http://schemas.microsoft.com/office/drawing/2014/main" pred="{2F730E38-C740-BC0C-7259-6A0E5C4AC42D}"/>
            </a:ext>
          </a:extLst>
        </xdr:cNvPr>
        <xdr:cNvSpPr/>
      </xdr:nvSpPr>
      <xdr:spPr>
        <a:xfrm>
          <a:off x="1400175" y="5781675"/>
          <a:ext cx="619125" cy="609600"/>
        </a:xfrm>
        <a:prstGeom prst="flowChartConnec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B</a:t>
          </a:r>
        </a:p>
      </xdr:txBody>
    </xdr:sp>
    <xdr:clientData/>
  </xdr:twoCellAnchor>
  <xdr:twoCellAnchor>
    <xdr:from>
      <xdr:col>2</xdr:col>
      <xdr:colOff>180975</xdr:colOff>
      <xdr:row>23</xdr:row>
      <xdr:rowOff>38100</xdr:rowOff>
    </xdr:from>
    <xdr:to>
      <xdr:col>3</xdr:col>
      <xdr:colOff>238125</xdr:colOff>
      <xdr:row>26</xdr:row>
      <xdr:rowOff>76200</xdr:rowOff>
    </xdr:to>
    <xdr:sp macro="" textlink="">
      <xdr:nvSpPr>
        <xdr:cNvPr id="5" name="Овал 4">
          <a:extLst>
            <a:ext uri="{FF2B5EF4-FFF2-40B4-BE49-F238E27FC236}">
              <a16:creationId xmlns:a16="http://schemas.microsoft.com/office/drawing/2014/main" id="{17985C2A-1DEE-6D74-A425-DCC2A570E254}"/>
            </a:ext>
            <a:ext uri="{147F2762-F138-4A5C-976F-8EAC2B608ADB}">
              <a16:predDERef xmlns:a16="http://schemas.microsoft.com/office/drawing/2014/main" pred="{6AEBA7C6-8DD4-E8BF-3DF6-B5849A7EB428}"/>
            </a:ext>
          </a:extLst>
        </xdr:cNvPr>
        <xdr:cNvSpPr/>
      </xdr:nvSpPr>
      <xdr:spPr>
        <a:xfrm>
          <a:off x="1400175" y="4638675"/>
          <a:ext cx="666750" cy="63817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G</a:t>
          </a:r>
        </a:p>
      </xdr:txBody>
    </xdr:sp>
    <xdr:clientData/>
  </xdr:twoCellAnchor>
  <xdr:twoCellAnchor>
    <xdr:from>
      <xdr:col>2</xdr:col>
      <xdr:colOff>133350</xdr:colOff>
      <xdr:row>39</xdr:row>
      <xdr:rowOff>95250</xdr:rowOff>
    </xdr:from>
    <xdr:to>
      <xdr:col>3</xdr:col>
      <xdr:colOff>161925</xdr:colOff>
      <xdr:row>42</xdr:row>
      <xdr:rowOff>152400</xdr:rowOff>
    </xdr:to>
    <xdr:sp macro="" textlink="">
      <xdr:nvSpPr>
        <xdr:cNvPr id="6" name="Овал 5">
          <a:extLst>
            <a:ext uri="{FF2B5EF4-FFF2-40B4-BE49-F238E27FC236}">
              <a16:creationId xmlns:a16="http://schemas.microsoft.com/office/drawing/2014/main" id="{69329A93-F23F-A739-7028-9034721BB2CF}"/>
            </a:ext>
            <a:ext uri="{147F2762-F138-4A5C-976F-8EAC2B608ADB}">
              <a16:predDERef xmlns:a16="http://schemas.microsoft.com/office/drawing/2014/main" pred="{17985C2A-1DEE-6D74-A425-DCC2A570E254}"/>
            </a:ext>
          </a:extLst>
        </xdr:cNvPr>
        <xdr:cNvSpPr/>
      </xdr:nvSpPr>
      <xdr:spPr>
        <a:xfrm>
          <a:off x="1352550" y="7800975"/>
          <a:ext cx="638175" cy="6286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</a:t>
          </a:r>
        </a:p>
      </xdr:txBody>
    </xdr:sp>
    <xdr:clientData/>
  </xdr:twoCellAnchor>
  <xdr:twoCellAnchor>
    <xdr:from>
      <xdr:col>4</xdr:col>
      <xdr:colOff>114300</xdr:colOff>
      <xdr:row>34</xdr:row>
      <xdr:rowOff>47625</xdr:rowOff>
    </xdr:from>
    <xdr:to>
      <xdr:col>5</xdr:col>
      <xdr:colOff>200025</xdr:colOff>
      <xdr:row>37</xdr:row>
      <xdr:rowOff>133350</xdr:rowOff>
    </xdr:to>
    <xdr:sp macro="" textlink="">
      <xdr:nvSpPr>
        <xdr:cNvPr id="7" name="Овал 6">
          <a:extLst>
            <a:ext uri="{FF2B5EF4-FFF2-40B4-BE49-F238E27FC236}">
              <a16:creationId xmlns:a16="http://schemas.microsoft.com/office/drawing/2014/main" id="{B887B114-1C3D-4F1C-B892-76AD5B80F852}"/>
            </a:ext>
            <a:ext uri="{147F2762-F138-4A5C-976F-8EAC2B608ADB}">
              <a16:predDERef xmlns:a16="http://schemas.microsoft.com/office/drawing/2014/main" pred="{69329A93-F23F-A739-7028-9034721BB2CF}"/>
            </a:ext>
          </a:extLst>
        </xdr:cNvPr>
        <xdr:cNvSpPr/>
      </xdr:nvSpPr>
      <xdr:spPr>
        <a:xfrm>
          <a:off x="2552700" y="6800850"/>
          <a:ext cx="695325" cy="65722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</a:t>
          </a:r>
        </a:p>
      </xdr:txBody>
    </xdr:sp>
    <xdr:clientData/>
  </xdr:twoCellAnchor>
  <xdr:twoCellAnchor>
    <xdr:from>
      <xdr:col>6</xdr:col>
      <xdr:colOff>142875</xdr:colOff>
      <xdr:row>34</xdr:row>
      <xdr:rowOff>57150</xdr:rowOff>
    </xdr:from>
    <xdr:to>
      <xdr:col>7</xdr:col>
      <xdr:colOff>219075</xdr:colOff>
      <xdr:row>37</xdr:row>
      <xdr:rowOff>171450</xdr:rowOff>
    </xdr:to>
    <xdr:sp macro="" textlink="">
      <xdr:nvSpPr>
        <xdr:cNvPr id="8" name="Овал 7">
          <a:extLst>
            <a:ext uri="{FF2B5EF4-FFF2-40B4-BE49-F238E27FC236}">
              <a16:creationId xmlns:a16="http://schemas.microsoft.com/office/drawing/2014/main" id="{99A9223D-A943-D7FB-3533-F06169A4BC6E}"/>
            </a:ext>
            <a:ext uri="{147F2762-F138-4A5C-976F-8EAC2B608ADB}">
              <a16:predDERef xmlns:a16="http://schemas.microsoft.com/office/drawing/2014/main" pred="{B887B114-1C3D-4F1C-B892-76AD5B80F852}"/>
            </a:ext>
          </a:extLst>
        </xdr:cNvPr>
        <xdr:cNvSpPr/>
      </xdr:nvSpPr>
      <xdr:spPr>
        <a:xfrm>
          <a:off x="3800475" y="6810375"/>
          <a:ext cx="685800" cy="6858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</a:t>
          </a:r>
        </a:p>
      </xdr:txBody>
    </xdr:sp>
    <xdr:clientData/>
  </xdr:twoCellAnchor>
  <xdr:twoCellAnchor>
    <xdr:from>
      <xdr:col>6</xdr:col>
      <xdr:colOff>209550</xdr:colOff>
      <xdr:row>28</xdr:row>
      <xdr:rowOff>171450</xdr:rowOff>
    </xdr:from>
    <xdr:to>
      <xdr:col>7</xdr:col>
      <xdr:colOff>276225</xdr:colOff>
      <xdr:row>32</xdr:row>
      <xdr:rowOff>76200</xdr:rowOff>
    </xdr:to>
    <xdr:sp macro="" textlink="">
      <xdr:nvSpPr>
        <xdr:cNvPr id="9" name="Овал 8">
          <a:extLst>
            <a:ext uri="{FF2B5EF4-FFF2-40B4-BE49-F238E27FC236}">
              <a16:creationId xmlns:a16="http://schemas.microsoft.com/office/drawing/2014/main" id="{B74045DA-2C9E-FF7B-9EF9-1534ED89D804}"/>
            </a:ext>
            <a:ext uri="{147F2762-F138-4A5C-976F-8EAC2B608ADB}">
              <a16:predDERef xmlns:a16="http://schemas.microsoft.com/office/drawing/2014/main" pred="{99A9223D-A943-D7FB-3533-F06169A4BC6E}"/>
            </a:ext>
          </a:extLst>
        </xdr:cNvPr>
        <xdr:cNvSpPr/>
      </xdr:nvSpPr>
      <xdr:spPr>
        <a:xfrm>
          <a:off x="3867150" y="5772150"/>
          <a:ext cx="676275" cy="67627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</a:t>
          </a:r>
        </a:p>
      </xdr:txBody>
    </xdr:sp>
    <xdr:clientData/>
  </xdr:twoCellAnchor>
  <xdr:twoCellAnchor>
    <xdr:from>
      <xdr:col>6</xdr:col>
      <xdr:colOff>180975</xdr:colOff>
      <xdr:row>23</xdr:row>
      <xdr:rowOff>19050</xdr:rowOff>
    </xdr:from>
    <xdr:to>
      <xdr:col>7</xdr:col>
      <xdr:colOff>304800</xdr:colOff>
      <xdr:row>26</xdr:row>
      <xdr:rowOff>152400</xdr:rowOff>
    </xdr:to>
    <xdr:sp macro="" textlink="">
      <xdr:nvSpPr>
        <xdr:cNvPr id="10" name="Овал 9">
          <a:extLst>
            <a:ext uri="{FF2B5EF4-FFF2-40B4-BE49-F238E27FC236}">
              <a16:creationId xmlns:a16="http://schemas.microsoft.com/office/drawing/2014/main" id="{1B454895-FC5F-9449-1EEA-22588161810B}"/>
            </a:ext>
            <a:ext uri="{147F2762-F138-4A5C-976F-8EAC2B608ADB}">
              <a16:predDERef xmlns:a16="http://schemas.microsoft.com/office/drawing/2014/main" pred="{B74045DA-2C9E-FF7B-9EF9-1534ED89D804}"/>
            </a:ext>
          </a:extLst>
        </xdr:cNvPr>
        <xdr:cNvSpPr/>
      </xdr:nvSpPr>
      <xdr:spPr>
        <a:xfrm>
          <a:off x="3838575" y="4619625"/>
          <a:ext cx="733425" cy="73342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</a:t>
          </a:r>
        </a:p>
      </xdr:txBody>
    </xdr:sp>
    <xdr:clientData/>
  </xdr:twoCellAnchor>
  <xdr:twoCellAnchor>
    <xdr:from>
      <xdr:col>4</xdr:col>
      <xdr:colOff>152400</xdr:colOff>
      <xdr:row>23</xdr:row>
      <xdr:rowOff>38100</xdr:rowOff>
    </xdr:from>
    <xdr:to>
      <xdr:col>5</xdr:col>
      <xdr:colOff>209550</xdr:colOff>
      <xdr:row>26</xdr:row>
      <xdr:rowOff>114300</xdr:rowOff>
    </xdr:to>
    <xdr:sp macro="" textlink="">
      <xdr:nvSpPr>
        <xdr:cNvPr id="11" name="Овал 10">
          <a:extLst>
            <a:ext uri="{FF2B5EF4-FFF2-40B4-BE49-F238E27FC236}">
              <a16:creationId xmlns:a16="http://schemas.microsoft.com/office/drawing/2014/main" id="{02CB4703-FE98-A314-FCED-1CFE3C038816}"/>
            </a:ext>
            <a:ext uri="{147F2762-F138-4A5C-976F-8EAC2B608ADB}">
              <a16:predDERef xmlns:a16="http://schemas.microsoft.com/office/drawing/2014/main" pred="{1B454895-FC5F-9449-1EEA-22588161810B}"/>
            </a:ext>
          </a:extLst>
        </xdr:cNvPr>
        <xdr:cNvSpPr/>
      </xdr:nvSpPr>
      <xdr:spPr>
        <a:xfrm>
          <a:off x="2590800" y="4638675"/>
          <a:ext cx="666750" cy="67627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H</a:t>
          </a:r>
        </a:p>
      </xdr:txBody>
    </xdr:sp>
    <xdr:clientData/>
  </xdr:twoCellAnchor>
  <xdr:twoCellAnchor>
    <xdr:from>
      <xdr:col>4</xdr:col>
      <xdr:colOff>76200</xdr:colOff>
      <xdr:row>39</xdr:row>
      <xdr:rowOff>104775</xdr:rowOff>
    </xdr:from>
    <xdr:to>
      <xdr:col>5</xdr:col>
      <xdr:colOff>152400</xdr:colOff>
      <xdr:row>43</xdr:row>
      <xdr:rowOff>19050</xdr:rowOff>
    </xdr:to>
    <xdr:sp macro="" textlink="">
      <xdr:nvSpPr>
        <xdr:cNvPr id="12" name="Овал 11">
          <a:extLst>
            <a:ext uri="{FF2B5EF4-FFF2-40B4-BE49-F238E27FC236}">
              <a16:creationId xmlns:a16="http://schemas.microsoft.com/office/drawing/2014/main" id="{5B8D1A84-740F-7385-14FF-5E717583B5EB}"/>
            </a:ext>
            <a:ext uri="{147F2762-F138-4A5C-976F-8EAC2B608ADB}">
              <a16:predDERef xmlns:a16="http://schemas.microsoft.com/office/drawing/2014/main" pred="{02CB4703-FE98-A314-FCED-1CFE3C038816}"/>
            </a:ext>
          </a:extLst>
        </xdr:cNvPr>
        <xdr:cNvSpPr/>
      </xdr:nvSpPr>
      <xdr:spPr>
        <a:xfrm>
          <a:off x="2514600" y="7810500"/>
          <a:ext cx="685800" cy="67627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</a:t>
          </a:r>
        </a:p>
      </xdr:txBody>
    </xdr:sp>
    <xdr:clientData/>
  </xdr:twoCellAnchor>
  <xdr:twoCellAnchor>
    <xdr:from>
      <xdr:col>6</xdr:col>
      <xdr:colOff>123825</xdr:colOff>
      <xdr:row>39</xdr:row>
      <xdr:rowOff>104775</xdr:rowOff>
    </xdr:from>
    <xdr:to>
      <xdr:col>7</xdr:col>
      <xdr:colOff>161925</xdr:colOff>
      <xdr:row>43</xdr:row>
      <xdr:rowOff>0</xdr:rowOff>
    </xdr:to>
    <xdr:sp macro="" textlink="">
      <xdr:nvSpPr>
        <xdr:cNvPr id="13" name="Овал 12">
          <a:extLst>
            <a:ext uri="{FF2B5EF4-FFF2-40B4-BE49-F238E27FC236}">
              <a16:creationId xmlns:a16="http://schemas.microsoft.com/office/drawing/2014/main" id="{9B7A0F1B-FB3E-9367-36D6-AFB52BC9B56B}"/>
            </a:ext>
            <a:ext uri="{147F2762-F138-4A5C-976F-8EAC2B608ADB}">
              <a16:predDERef xmlns:a16="http://schemas.microsoft.com/office/drawing/2014/main" pred="{5B8D1A84-740F-7385-14FF-5E717583B5EB}"/>
            </a:ext>
          </a:extLst>
        </xdr:cNvPr>
        <xdr:cNvSpPr/>
      </xdr:nvSpPr>
      <xdr:spPr>
        <a:xfrm>
          <a:off x="3781425" y="7810500"/>
          <a:ext cx="647700" cy="65722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</a:t>
          </a:r>
        </a:p>
      </xdr:txBody>
    </xdr:sp>
    <xdr:clientData/>
  </xdr:twoCellAnchor>
  <xdr:twoCellAnchor>
    <xdr:from>
      <xdr:col>9</xdr:col>
      <xdr:colOff>219075</xdr:colOff>
      <xdr:row>31</xdr:row>
      <xdr:rowOff>114300</xdr:rowOff>
    </xdr:from>
    <xdr:to>
      <xdr:col>10</xdr:col>
      <xdr:colOff>314325</xdr:colOff>
      <xdr:row>35</xdr:row>
      <xdr:rowOff>38100</xdr:rowOff>
    </xdr:to>
    <xdr:sp macro="" textlink="">
      <xdr:nvSpPr>
        <xdr:cNvPr id="14" name="Овал 13">
          <a:extLst>
            <a:ext uri="{FF2B5EF4-FFF2-40B4-BE49-F238E27FC236}">
              <a16:creationId xmlns:a16="http://schemas.microsoft.com/office/drawing/2014/main" id="{D9525B81-12FA-B8B3-8924-7E811535AC68}"/>
            </a:ext>
            <a:ext uri="{147F2762-F138-4A5C-976F-8EAC2B608ADB}">
              <a16:predDERef xmlns:a16="http://schemas.microsoft.com/office/drawing/2014/main" pred="{9B7A0F1B-FB3E-9367-36D6-AFB52BC9B56B}"/>
            </a:ext>
          </a:extLst>
        </xdr:cNvPr>
        <xdr:cNvSpPr/>
      </xdr:nvSpPr>
      <xdr:spPr>
        <a:xfrm>
          <a:off x="5705475" y="6257925"/>
          <a:ext cx="704850" cy="6477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O</a:t>
          </a:r>
        </a:p>
      </xdr:txBody>
    </xdr:sp>
    <xdr:clientData/>
  </xdr:twoCellAnchor>
  <xdr:twoCellAnchor>
    <xdr:from>
      <xdr:col>1</xdr:col>
      <xdr:colOff>328613</xdr:colOff>
      <xdr:row>25</xdr:row>
      <xdr:rowOff>42862</xdr:rowOff>
    </xdr:from>
    <xdr:to>
      <xdr:col>1</xdr:col>
      <xdr:colOff>481013</xdr:colOff>
      <xdr:row>30</xdr:row>
      <xdr:rowOff>71437</xdr:rowOff>
    </xdr:to>
    <xdr:sp macro="" textlink="">
      <xdr:nvSpPr>
        <xdr:cNvPr id="16" name="Стрелка вправо 15">
          <a:extLst>
            <a:ext uri="{FF2B5EF4-FFF2-40B4-BE49-F238E27FC236}">
              <a16:creationId xmlns:a16="http://schemas.microsoft.com/office/drawing/2014/main" id="{B9E3923E-6CD2-C30E-1CB5-BEDB225CE17A}"/>
            </a:ext>
            <a:ext uri="{147F2762-F138-4A5C-976F-8EAC2B608ADB}">
              <a16:predDERef xmlns:a16="http://schemas.microsoft.com/office/drawing/2014/main" pred="{D9525B81-12FA-B8B3-8924-7E811535AC68}"/>
            </a:ext>
          </a:extLst>
        </xdr:cNvPr>
        <xdr:cNvSpPr/>
      </xdr:nvSpPr>
      <xdr:spPr>
        <a:xfrm rot="18775046">
          <a:off x="504825" y="5476875"/>
          <a:ext cx="1019175" cy="1524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</xdr:col>
      <xdr:colOff>228600</xdr:colOff>
      <xdr:row>30</xdr:row>
      <xdr:rowOff>9525</xdr:rowOff>
    </xdr:from>
    <xdr:to>
      <xdr:col>2</xdr:col>
      <xdr:colOff>190500</xdr:colOff>
      <xdr:row>31</xdr:row>
      <xdr:rowOff>38100</xdr:rowOff>
    </xdr:to>
    <xdr:sp macro="" textlink="">
      <xdr:nvSpPr>
        <xdr:cNvPr id="17" name="Стрелка вправо 16">
          <a:extLst>
            <a:ext uri="{FF2B5EF4-FFF2-40B4-BE49-F238E27FC236}">
              <a16:creationId xmlns:a16="http://schemas.microsoft.com/office/drawing/2014/main" id="{EAFCD8E1-5752-9FA3-1F0B-EE7FCCC2A2CF}"/>
            </a:ext>
            <a:ext uri="{147F2762-F138-4A5C-976F-8EAC2B608ADB}">
              <a16:predDERef xmlns:a16="http://schemas.microsoft.com/office/drawing/2014/main" pred="{B9E3923E-6CD2-C30E-1CB5-BEDB225CE17A}"/>
            </a:ext>
          </a:extLst>
        </xdr:cNvPr>
        <xdr:cNvSpPr/>
      </xdr:nvSpPr>
      <xdr:spPr>
        <a:xfrm rot="20391822">
          <a:off x="838200" y="6000750"/>
          <a:ext cx="571500" cy="21907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</xdr:col>
      <xdr:colOff>123825</xdr:colOff>
      <xdr:row>34</xdr:row>
      <xdr:rowOff>0</xdr:rowOff>
    </xdr:from>
    <xdr:to>
      <xdr:col>2</xdr:col>
      <xdr:colOff>171450</xdr:colOff>
      <xdr:row>35</xdr:row>
      <xdr:rowOff>28575</xdr:rowOff>
    </xdr:to>
    <xdr:sp macro="" textlink="">
      <xdr:nvSpPr>
        <xdr:cNvPr id="18" name="Стрелка вправо 17">
          <a:extLst>
            <a:ext uri="{FF2B5EF4-FFF2-40B4-BE49-F238E27FC236}">
              <a16:creationId xmlns:a16="http://schemas.microsoft.com/office/drawing/2014/main" id="{5B2B4A1B-87BA-A026-4F2E-14B9B18A2A21}"/>
            </a:ext>
            <a:ext uri="{147F2762-F138-4A5C-976F-8EAC2B608ADB}">
              <a16:predDERef xmlns:a16="http://schemas.microsoft.com/office/drawing/2014/main" pred="{EAFCD8E1-5752-9FA3-1F0B-EE7FCCC2A2CF}"/>
            </a:ext>
          </a:extLst>
        </xdr:cNvPr>
        <xdr:cNvSpPr/>
      </xdr:nvSpPr>
      <xdr:spPr>
        <a:xfrm rot="1957155">
          <a:off x="733425" y="6753225"/>
          <a:ext cx="657225" cy="21907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</xdr:col>
      <xdr:colOff>214312</xdr:colOff>
      <xdr:row>33</xdr:row>
      <xdr:rowOff>138113</xdr:rowOff>
    </xdr:from>
    <xdr:to>
      <xdr:col>1</xdr:col>
      <xdr:colOff>433387</xdr:colOff>
      <xdr:row>40</xdr:row>
      <xdr:rowOff>119063</xdr:rowOff>
    </xdr:to>
    <xdr:sp macro="" textlink="">
      <xdr:nvSpPr>
        <xdr:cNvPr id="19" name="Стрелка вправо 18">
          <a:extLst>
            <a:ext uri="{FF2B5EF4-FFF2-40B4-BE49-F238E27FC236}">
              <a16:creationId xmlns:a16="http://schemas.microsoft.com/office/drawing/2014/main" id="{93747BBC-E1A2-A812-016E-867CBC2B08BE}"/>
            </a:ext>
            <a:ext uri="{147F2762-F138-4A5C-976F-8EAC2B608ADB}">
              <a16:predDERef xmlns:a16="http://schemas.microsoft.com/office/drawing/2014/main" pred="{5B2B4A1B-87BA-A026-4F2E-14B9B18A2A21}"/>
            </a:ext>
          </a:extLst>
        </xdr:cNvPr>
        <xdr:cNvSpPr/>
      </xdr:nvSpPr>
      <xdr:spPr>
        <a:xfrm rot="3470862">
          <a:off x="276225" y="7248525"/>
          <a:ext cx="1314450" cy="21907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3</xdr:col>
      <xdr:colOff>295275</xdr:colOff>
      <xdr:row>24</xdr:row>
      <xdr:rowOff>38100</xdr:rowOff>
    </xdr:from>
    <xdr:to>
      <xdr:col>4</xdr:col>
      <xdr:colOff>152400</xdr:colOff>
      <xdr:row>25</xdr:row>
      <xdr:rowOff>66675</xdr:rowOff>
    </xdr:to>
    <xdr:sp macro="" textlink="">
      <xdr:nvSpPr>
        <xdr:cNvPr id="20" name="Стрелка вправо 19">
          <a:extLst>
            <a:ext uri="{FF2B5EF4-FFF2-40B4-BE49-F238E27FC236}">
              <a16:creationId xmlns:a16="http://schemas.microsoft.com/office/drawing/2014/main" id="{A225BEA5-473E-34C1-5EDF-212E64D9579A}"/>
            </a:ext>
            <a:ext uri="{147F2762-F138-4A5C-976F-8EAC2B608ADB}">
              <a16:predDERef xmlns:a16="http://schemas.microsoft.com/office/drawing/2014/main" pred="{93747BBC-E1A2-A812-016E-867CBC2B08BE}"/>
            </a:ext>
          </a:extLst>
        </xdr:cNvPr>
        <xdr:cNvSpPr/>
      </xdr:nvSpPr>
      <xdr:spPr>
        <a:xfrm>
          <a:off x="2124075" y="4838700"/>
          <a:ext cx="466725" cy="228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5</xdr:col>
      <xdr:colOff>285750</xdr:colOff>
      <xdr:row>24</xdr:row>
      <xdr:rowOff>57150</xdr:rowOff>
    </xdr:from>
    <xdr:to>
      <xdr:col>6</xdr:col>
      <xdr:colOff>142875</xdr:colOff>
      <xdr:row>25</xdr:row>
      <xdr:rowOff>85725</xdr:rowOff>
    </xdr:to>
    <xdr:sp macro="" textlink="">
      <xdr:nvSpPr>
        <xdr:cNvPr id="21" name="Стрелка вправо 20">
          <a:extLst>
            <a:ext uri="{FF2B5EF4-FFF2-40B4-BE49-F238E27FC236}">
              <a16:creationId xmlns:a16="http://schemas.microsoft.com/office/drawing/2014/main" id="{803BD4B3-2894-4440-8B8D-52AA79DB9507}"/>
            </a:ext>
            <a:ext uri="{147F2762-F138-4A5C-976F-8EAC2B608ADB}">
              <a16:predDERef xmlns:a16="http://schemas.microsoft.com/office/drawing/2014/main" pred="{A225BEA5-473E-34C1-5EDF-212E64D9579A}"/>
            </a:ext>
          </a:extLst>
        </xdr:cNvPr>
        <xdr:cNvSpPr/>
      </xdr:nvSpPr>
      <xdr:spPr>
        <a:xfrm>
          <a:off x="3333750" y="4857750"/>
          <a:ext cx="466725" cy="228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</xdr:col>
      <xdr:colOff>238125</xdr:colOff>
      <xdr:row>35</xdr:row>
      <xdr:rowOff>85725</xdr:rowOff>
    </xdr:from>
    <xdr:to>
      <xdr:col>4</xdr:col>
      <xdr:colOff>95250</xdr:colOff>
      <xdr:row>36</xdr:row>
      <xdr:rowOff>123825</xdr:rowOff>
    </xdr:to>
    <xdr:sp macro="" textlink="">
      <xdr:nvSpPr>
        <xdr:cNvPr id="22" name="Стрелка вправо 21">
          <a:extLst>
            <a:ext uri="{FF2B5EF4-FFF2-40B4-BE49-F238E27FC236}">
              <a16:creationId xmlns:a16="http://schemas.microsoft.com/office/drawing/2014/main" id="{E688956A-E5AD-404C-9046-575BB49A3026}"/>
            </a:ext>
            <a:ext uri="{147F2762-F138-4A5C-976F-8EAC2B608ADB}">
              <a16:predDERef xmlns:a16="http://schemas.microsoft.com/office/drawing/2014/main" pred="{803BD4B3-2894-4440-8B8D-52AA79DB9507}"/>
            </a:ext>
          </a:extLst>
        </xdr:cNvPr>
        <xdr:cNvSpPr/>
      </xdr:nvSpPr>
      <xdr:spPr>
        <a:xfrm>
          <a:off x="2066925" y="7029450"/>
          <a:ext cx="466725" cy="228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5</xdr:col>
      <xdr:colOff>257175</xdr:colOff>
      <xdr:row>35</xdr:row>
      <xdr:rowOff>95250</xdr:rowOff>
    </xdr:from>
    <xdr:to>
      <xdr:col>6</xdr:col>
      <xdr:colOff>114300</xdr:colOff>
      <xdr:row>36</xdr:row>
      <xdr:rowOff>133350</xdr:rowOff>
    </xdr:to>
    <xdr:sp macro="" textlink="">
      <xdr:nvSpPr>
        <xdr:cNvPr id="23" name="Стрелка вправо 22">
          <a:extLst>
            <a:ext uri="{FF2B5EF4-FFF2-40B4-BE49-F238E27FC236}">
              <a16:creationId xmlns:a16="http://schemas.microsoft.com/office/drawing/2014/main" id="{AD660A61-839E-419C-B56C-BAA7FACA18BA}"/>
            </a:ext>
            <a:ext uri="{147F2762-F138-4A5C-976F-8EAC2B608ADB}">
              <a16:predDERef xmlns:a16="http://schemas.microsoft.com/office/drawing/2014/main" pred="{E688956A-E5AD-404C-9046-575BB49A3026}"/>
            </a:ext>
          </a:extLst>
        </xdr:cNvPr>
        <xdr:cNvSpPr/>
      </xdr:nvSpPr>
      <xdr:spPr>
        <a:xfrm>
          <a:off x="3305175" y="7038975"/>
          <a:ext cx="466725" cy="228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</xdr:col>
      <xdr:colOff>209550</xdr:colOff>
      <xdr:row>40</xdr:row>
      <xdr:rowOff>114300</xdr:rowOff>
    </xdr:from>
    <xdr:to>
      <xdr:col>4</xdr:col>
      <xdr:colOff>66675</xdr:colOff>
      <xdr:row>41</xdr:row>
      <xdr:rowOff>152400</xdr:rowOff>
    </xdr:to>
    <xdr:sp macro="" textlink="">
      <xdr:nvSpPr>
        <xdr:cNvPr id="24" name="Стрелка вправо 23">
          <a:extLst>
            <a:ext uri="{FF2B5EF4-FFF2-40B4-BE49-F238E27FC236}">
              <a16:creationId xmlns:a16="http://schemas.microsoft.com/office/drawing/2014/main" id="{2E3416E8-8610-4415-97A3-2862198AECD2}"/>
            </a:ext>
            <a:ext uri="{147F2762-F138-4A5C-976F-8EAC2B608ADB}">
              <a16:predDERef xmlns:a16="http://schemas.microsoft.com/office/drawing/2014/main" pred="{AD660A61-839E-419C-B56C-BAA7FACA18BA}"/>
            </a:ext>
          </a:extLst>
        </xdr:cNvPr>
        <xdr:cNvSpPr/>
      </xdr:nvSpPr>
      <xdr:spPr>
        <a:xfrm>
          <a:off x="2038350" y="8010525"/>
          <a:ext cx="466725" cy="228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5</xdr:col>
      <xdr:colOff>209550</xdr:colOff>
      <xdr:row>40</xdr:row>
      <xdr:rowOff>133350</xdr:rowOff>
    </xdr:from>
    <xdr:to>
      <xdr:col>6</xdr:col>
      <xdr:colOff>66675</xdr:colOff>
      <xdr:row>41</xdr:row>
      <xdr:rowOff>171450</xdr:rowOff>
    </xdr:to>
    <xdr:sp macro="" textlink="">
      <xdr:nvSpPr>
        <xdr:cNvPr id="25" name="Стрелка вправо 24">
          <a:extLst>
            <a:ext uri="{FF2B5EF4-FFF2-40B4-BE49-F238E27FC236}">
              <a16:creationId xmlns:a16="http://schemas.microsoft.com/office/drawing/2014/main" id="{EB625E21-AA0D-4525-A12F-863A8C2F0D10}"/>
            </a:ext>
            <a:ext uri="{147F2762-F138-4A5C-976F-8EAC2B608ADB}">
              <a16:predDERef xmlns:a16="http://schemas.microsoft.com/office/drawing/2014/main" pred="{2E3416E8-8610-4415-97A3-2862198AECD2}"/>
            </a:ext>
          </a:extLst>
        </xdr:cNvPr>
        <xdr:cNvSpPr/>
      </xdr:nvSpPr>
      <xdr:spPr>
        <a:xfrm>
          <a:off x="3257550" y="8029575"/>
          <a:ext cx="466725" cy="228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</xdr:col>
      <xdr:colOff>285750</xdr:colOff>
      <xdr:row>29</xdr:row>
      <xdr:rowOff>180975</xdr:rowOff>
    </xdr:from>
    <xdr:to>
      <xdr:col>6</xdr:col>
      <xdr:colOff>142875</xdr:colOff>
      <xdr:row>31</xdr:row>
      <xdr:rowOff>38100</xdr:rowOff>
    </xdr:to>
    <xdr:sp macro="" textlink="">
      <xdr:nvSpPr>
        <xdr:cNvPr id="26" name="Стрелка вправо 25">
          <a:extLst>
            <a:ext uri="{FF2B5EF4-FFF2-40B4-BE49-F238E27FC236}">
              <a16:creationId xmlns:a16="http://schemas.microsoft.com/office/drawing/2014/main" id="{8474715F-DA40-44D9-8849-2081D6CD995F}"/>
            </a:ext>
            <a:ext uri="{147F2762-F138-4A5C-976F-8EAC2B608ADB}">
              <a16:predDERef xmlns:a16="http://schemas.microsoft.com/office/drawing/2014/main" pred="{EB625E21-AA0D-4525-A12F-863A8C2F0D10}"/>
            </a:ext>
          </a:extLst>
        </xdr:cNvPr>
        <xdr:cNvSpPr/>
      </xdr:nvSpPr>
      <xdr:spPr>
        <a:xfrm>
          <a:off x="2114550" y="5981700"/>
          <a:ext cx="1685925" cy="2381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6</xdr:col>
      <xdr:colOff>409575</xdr:colOff>
      <xdr:row>32</xdr:row>
      <xdr:rowOff>76200</xdr:rowOff>
    </xdr:from>
    <xdr:to>
      <xdr:col>7</xdr:col>
      <xdr:colOff>28575</xdr:colOff>
      <xdr:row>34</xdr:row>
      <xdr:rowOff>38100</xdr:rowOff>
    </xdr:to>
    <xdr:sp macro="" textlink="">
      <xdr:nvSpPr>
        <xdr:cNvPr id="27" name="Стрелка вправо 26">
          <a:extLst>
            <a:ext uri="{FF2B5EF4-FFF2-40B4-BE49-F238E27FC236}">
              <a16:creationId xmlns:a16="http://schemas.microsoft.com/office/drawing/2014/main" id="{C9CDF5BF-F4E5-46A0-8B6B-7869C261F166}"/>
            </a:ext>
            <a:ext uri="{147F2762-F138-4A5C-976F-8EAC2B608ADB}">
              <a16:predDERef xmlns:a16="http://schemas.microsoft.com/office/drawing/2014/main" pred="{8474715F-DA40-44D9-8849-2081D6CD995F}"/>
            </a:ext>
          </a:extLst>
        </xdr:cNvPr>
        <xdr:cNvSpPr/>
      </xdr:nvSpPr>
      <xdr:spPr>
        <a:xfrm rot="16239513">
          <a:off x="4010025" y="6505575"/>
          <a:ext cx="342900" cy="2286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8</xdr:col>
      <xdr:colOff>161925</xdr:colOff>
      <xdr:row>25</xdr:row>
      <xdr:rowOff>19050</xdr:rowOff>
    </xdr:from>
    <xdr:to>
      <xdr:col>8</xdr:col>
      <xdr:colOff>504825</xdr:colOff>
      <xdr:row>32</xdr:row>
      <xdr:rowOff>133350</xdr:rowOff>
    </xdr:to>
    <xdr:sp macro="" textlink="">
      <xdr:nvSpPr>
        <xdr:cNvPr id="28" name="Стрелка вправо 27">
          <a:extLst>
            <a:ext uri="{FF2B5EF4-FFF2-40B4-BE49-F238E27FC236}">
              <a16:creationId xmlns:a16="http://schemas.microsoft.com/office/drawing/2014/main" id="{5DDABFBF-AAB1-4C43-8D46-CD3E6189232A}"/>
            </a:ext>
            <a:ext uri="{147F2762-F138-4A5C-976F-8EAC2B608ADB}">
              <a16:predDERef xmlns:a16="http://schemas.microsoft.com/office/drawing/2014/main" pred="{C9CDF5BF-F4E5-46A0-8B6B-7869C261F166}"/>
            </a:ext>
          </a:extLst>
        </xdr:cNvPr>
        <xdr:cNvSpPr/>
      </xdr:nvSpPr>
      <xdr:spPr>
        <a:xfrm rot="2749819">
          <a:off x="4467225" y="5591175"/>
          <a:ext cx="1485900" cy="3429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7</xdr:col>
      <xdr:colOff>57150</xdr:colOff>
      <xdr:row>37</xdr:row>
      <xdr:rowOff>66675</xdr:rowOff>
    </xdr:from>
    <xdr:to>
      <xdr:col>9</xdr:col>
      <xdr:colOff>581025</xdr:colOff>
      <xdr:row>39</xdr:row>
      <xdr:rowOff>28575</xdr:rowOff>
    </xdr:to>
    <xdr:sp macro="" textlink="">
      <xdr:nvSpPr>
        <xdr:cNvPr id="29" name="Стрелка вправо 28">
          <a:extLst>
            <a:ext uri="{FF2B5EF4-FFF2-40B4-BE49-F238E27FC236}">
              <a16:creationId xmlns:a16="http://schemas.microsoft.com/office/drawing/2014/main" id="{9B7B3A76-51B6-4FF1-81A0-7799C1421ECE}"/>
            </a:ext>
            <a:ext uri="{147F2762-F138-4A5C-976F-8EAC2B608ADB}">
              <a16:predDERef xmlns:a16="http://schemas.microsoft.com/office/drawing/2014/main" pred="{5DDABFBF-AAB1-4C43-8D46-CD3E6189232A}"/>
            </a:ext>
          </a:extLst>
        </xdr:cNvPr>
        <xdr:cNvSpPr/>
      </xdr:nvSpPr>
      <xdr:spPr>
        <a:xfrm rot="19297951">
          <a:off x="4324350" y="7391400"/>
          <a:ext cx="1743075" cy="3429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7</xdr:col>
      <xdr:colOff>285750</xdr:colOff>
      <xdr:row>31</xdr:row>
      <xdr:rowOff>85725</xdr:rowOff>
    </xdr:from>
    <xdr:to>
      <xdr:col>9</xdr:col>
      <xdr:colOff>161925</xdr:colOff>
      <xdr:row>32</xdr:row>
      <xdr:rowOff>180975</xdr:rowOff>
    </xdr:to>
    <xdr:sp macro="" textlink="">
      <xdr:nvSpPr>
        <xdr:cNvPr id="30" name="Стрелка вправо 29">
          <a:extLst>
            <a:ext uri="{FF2B5EF4-FFF2-40B4-BE49-F238E27FC236}">
              <a16:creationId xmlns:a16="http://schemas.microsoft.com/office/drawing/2014/main" id="{9C44F261-5849-4447-8E0A-FDDD7365C73A}"/>
            </a:ext>
            <a:ext uri="{147F2762-F138-4A5C-976F-8EAC2B608ADB}">
              <a16:predDERef xmlns:a16="http://schemas.microsoft.com/office/drawing/2014/main" pred="{9B7B3A76-51B6-4FF1-81A0-7799C1421ECE}"/>
            </a:ext>
          </a:extLst>
        </xdr:cNvPr>
        <xdr:cNvSpPr/>
      </xdr:nvSpPr>
      <xdr:spPr>
        <a:xfrm rot="1075675">
          <a:off x="4552950" y="6267450"/>
          <a:ext cx="1095375" cy="2857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olitoit-my.sharepoint.com/personal/s308530_studenti_polito_it/Documents/$$_ES_ROTARY_TILLER_21022023_ENG_S_FIXED%20(version%201).xlsx" TargetMode="External"/><Relationship Id="rId1" Type="http://schemas.openxmlformats.org/officeDocument/2006/relationships/externalLinkPath" Target="https://politoit-my.sharepoint.com/personal/s308530_studenti_polito_it/Documents/$$_ES_ROTARY_TILLER_21022023_ENG_S_FIXED%20(version%20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EAV5csvBOUmfz-xekiheWwUiMPM4NbtGm5vYLwSHBFdZomWtmxjcRJIF7YbeKpVe" itemId="01JIR4J4MGUCJFTLPQEZEI5J5S43CXSJKR">
      <xxl21:absoluteUrl r:id="rId2"/>
    </xxl21:alternateUrls>
    <sheetNames>
      <sheetName val="$_DATA"/>
      <sheetName val="$_BOM_CYCLE"/>
      <sheetName val="$_MANU_PARTS_BATCHI"/>
      <sheetName val="$_WARE_BUFFER"/>
      <sheetName val="WARE_BUFFER_EPEI"/>
      <sheetName val="$_MOV_MATERIALS"/>
      <sheetName val="AREA CALCULATION"/>
      <sheetName val="ABC Analysis"/>
      <sheetName val="FORKLIFTS"/>
      <sheetName val="$_OP_ASSEMBLING"/>
      <sheetName val="WORKERS_SAFET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YAGIZ OZER" id="{75651C9E-023F-4719-8EB9-F33CA4F27416}" userId="S::S308530@studenti.polito.it::8bb5df82-00bf-4ef9-b00e-803b12590695" providerId="AD"/>
</personList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21" dT="2025-04-17T13:02:06.76" personId="{75651C9E-023F-4719-8EB9-F33CA4F27416}" id="{3C443A8E-A849-43E1-B031-0D9A13DF5B4E}">
    <text xml:space="preserve">In BM for selective pallet rack (for metal sheets ONLY) both sides of the main aisle will store same amount of load units therefore multiplied stacks by two </text>
  </threadedComment>
  <threadedComment ref="R21" dT="2025-04-17T13:16:40.94" personId="{75651C9E-023F-4719-8EB9-F33CA4F27416}" id="{C802EFB3-92AB-4323-934E-1A49842E6FFE}" parentId="{3C443A8E-A849-43E1-B031-0D9A13DF5B4E}">
    <text>Load units considered for Peak Inventory case</text>
  </threadedComment>
  <threadedComment ref="S21" dT="2025-04-17T13:15:08.51" personId="{75651C9E-023F-4719-8EB9-F33CA4F27416}" id="{D0AD8780-CFF4-4B90-8421-9031B8A24BB1}">
    <text xml:space="preserve">1 LOAD UNIT COVERS THIS AMOUNT OF AREA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22"/>
  <sheetViews>
    <sheetView topLeftCell="P1" zoomScale="92" zoomScaleNormal="92" workbookViewId="0">
      <pane ySplit="1" topLeftCell="A73" activePane="bottomLeft" state="frozen"/>
      <selection pane="bottomLeft" activeCell="Q34" sqref="Q34:Q35"/>
    </sheetView>
  </sheetViews>
  <sheetFormatPr defaultColWidth="8.796875" defaultRowHeight="14.25"/>
  <cols>
    <col min="1" max="1" width="14.796875" customWidth="1"/>
    <col min="2" max="2" width="26.1328125" bestFit="1" customWidth="1"/>
    <col min="3" max="7" width="10.1328125" customWidth="1"/>
    <col min="8" max="8" width="11.1328125" customWidth="1"/>
    <col min="9" max="9" width="12.1328125" customWidth="1"/>
    <col min="10" max="10" width="17.796875" bestFit="1" customWidth="1"/>
    <col min="11" max="11" width="17.1328125" bestFit="1" customWidth="1"/>
    <col min="12" max="12" width="12.1328125" bestFit="1" customWidth="1"/>
    <col min="13" max="13" width="18.1328125" bestFit="1" customWidth="1"/>
    <col min="14" max="14" width="22.6640625" bestFit="1" customWidth="1"/>
    <col min="15" max="15" width="15.1328125" customWidth="1"/>
    <col min="16" max="16" width="23.1328125" customWidth="1"/>
    <col min="17" max="17" width="14.1328125" customWidth="1"/>
    <col min="18" max="18" width="18.796875" customWidth="1"/>
    <col min="19" max="19" width="16.1328125" customWidth="1"/>
    <col min="20" max="20" width="17.1328125" bestFit="1" customWidth="1"/>
    <col min="21" max="21" width="17" bestFit="1" customWidth="1"/>
    <col min="22" max="23" width="14.1328125" bestFit="1" customWidth="1"/>
    <col min="26" max="26" width="46.1328125" bestFit="1" customWidth="1"/>
    <col min="27" max="27" width="13.1328125" bestFit="1" customWidth="1"/>
    <col min="28" max="28" width="12.6640625" bestFit="1" customWidth="1"/>
    <col min="29" max="29" width="13.1328125" bestFit="1" customWidth="1"/>
    <col min="31" max="31" width="11" bestFit="1" customWidth="1"/>
    <col min="32" max="32" width="11.1328125" bestFit="1" customWidth="1"/>
  </cols>
  <sheetData>
    <row r="1" spans="2:25" ht="23.25">
      <c r="C1" s="73" t="s">
        <v>0</v>
      </c>
      <c r="G1" s="1"/>
      <c r="H1" s="1"/>
      <c r="I1" s="1"/>
      <c r="J1" s="1"/>
      <c r="K1" s="1"/>
      <c r="L1" s="1"/>
      <c r="M1" s="1"/>
      <c r="N1" s="1"/>
      <c r="O1" s="1"/>
      <c r="P1" s="1"/>
      <c r="Q1" s="5"/>
      <c r="R1" s="1"/>
      <c r="S1" s="1"/>
      <c r="T1" s="1"/>
      <c r="U1" s="1"/>
      <c r="V1" s="1"/>
      <c r="W1" s="1"/>
      <c r="X1" s="1"/>
      <c r="Y1" s="1"/>
    </row>
    <row r="2" spans="2:25">
      <c r="G2" s="1"/>
      <c r="H2" s="1"/>
      <c r="I2" s="1"/>
      <c r="J2" s="1"/>
      <c r="K2" s="1"/>
      <c r="L2" s="1"/>
      <c r="M2" s="1" t="s">
        <v>1</v>
      </c>
      <c r="N2" s="70">
        <f>INT((6+7+4+15+19+26+19)/7)</f>
        <v>13</v>
      </c>
      <c r="O2" s="1"/>
      <c r="Q2" s="5"/>
      <c r="R2" s="1"/>
      <c r="S2" s="1"/>
      <c r="T2" s="1"/>
      <c r="U2" s="1"/>
      <c r="V2" s="1"/>
      <c r="W2" s="1"/>
      <c r="X2" s="1"/>
      <c r="Y2" s="1"/>
    </row>
    <row r="3" spans="2:25" ht="15.75">
      <c r="C3" s="372" t="s">
        <v>2</v>
      </c>
      <c r="D3" s="372"/>
      <c r="E3" s="372"/>
      <c r="F3" s="372"/>
      <c r="G3" s="372"/>
      <c r="H3" s="11">
        <v>125000</v>
      </c>
      <c r="I3" s="1"/>
      <c r="J3" s="1" t="s">
        <v>3</v>
      </c>
      <c r="K3" s="1">
        <v>220</v>
      </c>
      <c r="L3" s="1"/>
      <c r="M3" s="1" t="s">
        <v>4</v>
      </c>
      <c r="N3" s="70">
        <f>INT((13+13+11+25+6+6+13)/7)</f>
        <v>12</v>
      </c>
      <c r="O3" s="1"/>
      <c r="P3" s="1"/>
      <c r="Q3" s="5"/>
      <c r="R3" s="1"/>
      <c r="S3" s="1"/>
      <c r="T3" s="1"/>
      <c r="U3" s="1"/>
      <c r="V3" s="1"/>
      <c r="W3" s="1"/>
      <c r="X3" s="1"/>
      <c r="Y3" s="1"/>
    </row>
    <row r="4" spans="2:25" ht="15.75">
      <c r="C4" s="372" t="s">
        <v>5</v>
      </c>
      <c r="D4" s="372"/>
      <c r="E4" s="372"/>
      <c r="F4" s="372"/>
      <c r="G4" s="372"/>
      <c r="H4" s="71">
        <f>ROUNDUP(H3/K3,0)</f>
        <v>569</v>
      </c>
      <c r="I4" s="1"/>
      <c r="J4" s="1" t="s">
        <v>6</v>
      </c>
      <c r="K4" s="1">
        <v>22</v>
      </c>
      <c r="L4" s="1"/>
      <c r="M4" s="1"/>
      <c r="N4" s="1"/>
      <c r="O4" s="1"/>
      <c r="P4" s="1"/>
      <c r="Q4" s="5"/>
      <c r="R4" s="1"/>
      <c r="S4" s="1"/>
      <c r="T4" s="1"/>
      <c r="U4" s="1"/>
      <c r="V4" s="1"/>
      <c r="W4" s="1"/>
      <c r="X4" s="1"/>
      <c r="Y4" s="1"/>
    </row>
    <row r="5" spans="2:25" ht="15.75">
      <c r="C5" s="372" t="s">
        <v>7</v>
      </c>
      <c r="D5" s="372"/>
      <c r="E5" s="372"/>
      <c r="F5" s="372"/>
      <c r="G5" s="372"/>
      <c r="H5" s="72">
        <f>ROUNDUP(1.5*(N2+N3)*H4*M6/30,0)</f>
        <v>15648</v>
      </c>
      <c r="I5" s="1"/>
      <c r="J5" s="1"/>
      <c r="K5" s="1"/>
      <c r="L5" s="1"/>
      <c r="M5" s="1"/>
      <c r="N5" s="1"/>
      <c r="O5" s="1"/>
      <c r="P5" s="1"/>
      <c r="Q5" s="5"/>
      <c r="R5" s="1"/>
      <c r="S5" s="1"/>
      <c r="T5" s="1"/>
      <c r="U5" s="1"/>
      <c r="V5" s="1"/>
      <c r="W5" s="1"/>
      <c r="X5" s="1"/>
      <c r="Y5" s="1"/>
    </row>
    <row r="6" spans="2:25">
      <c r="B6" s="1"/>
      <c r="C6" s="1"/>
      <c r="D6" s="1"/>
      <c r="E6" s="1"/>
      <c r="F6" s="1"/>
      <c r="G6" s="1"/>
      <c r="H6" s="1"/>
      <c r="I6" s="1"/>
      <c r="J6" s="1"/>
      <c r="K6" s="376" t="s">
        <v>6</v>
      </c>
      <c r="L6" s="376"/>
      <c r="M6" s="97">
        <v>22</v>
      </c>
      <c r="N6" s="1"/>
      <c r="O6" s="375"/>
      <c r="P6" s="375"/>
      <c r="Q6" s="375"/>
      <c r="R6" s="15"/>
      <c r="S6" s="15"/>
      <c r="T6" s="15"/>
      <c r="U6" s="15"/>
      <c r="V6" s="15"/>
      <c r="W6" s="2"/>
      <c r="X6" s="1"/>
    </row>
    <row r="7" spans="2:25">
      <c r="B7" s="1"/>
      <c r="C7" s="373" t="s">
        <v>8</v>
      </c>
      <c r="D7" s="373"/>
      <c r="E7" s="373"/>
      <c r="F7" s="373"/>
      <c r="G7" s="373"/>
      <c r="H7" s="374">
        <f>H5</f>
        <v>15648</v>
      </c>
      <c r="I7" s="375" t="s">
        <v>9</v>
      </c>
      <c r="J7" s="1"/>
      <c r="K7" s="376" t="s">
        <v>10</v>
      </c>
      <c r="L7" s="376"/>
      <c r="M7" s="97">
        <v>15</v>
      </c>
      <c r="N7" s="1"/>
      <c r="O7" s="1"/>
      <c r="P7" s="1"/>
      <c r="Q7" s="6"/>
      <c r="R7" s="4"/>
      <c r="S7" s="4"/>
      <c r="T7" s="4"/>
      <c r="U7" s="4"/>
      <c r="V7" s="4"/>
      <c r="W7" s="2"/>
      <c r="X7" s="1"/>
    </row>
    <row r="8" spans="2:25">
      <c r="B8" s="1"/>
      <c r="C8" s="373"/>
      <c r="D8" s="373"/>
      <c r="E8" s="373"/>
      <c r="F8" s="373"/>
      <c r="G8" s="373"/>
      <c r="H8" s="374"/>
      <c r="I8" s="375"/>
      <c r="J8" s="1"/>
      <c r="K8" s="376" t="s">
        <v>11</v>
      </c>
      <c r="L8" s="376"/>
      <c r="M8" s="97">
        <f>M6*M7</f>
        <v>330</v>
      </c>
      <c r="N8" s="1"/>
      <c r="O8" s="1"/>
      <c r="P8" s="1"/>
      <c r="Q8" s="6"/>
      <c r="W8" s="2"/>
      <c r="X8" s="1"/>
    </row>
    <row r="9" spans="2:25">
      <c r="B9" s="1"/>
      <c r="C9" s="376" t="s">
        <v>12</v>
      </c>
      <c r="D9" s="376"/>
      <c r="E9" s="376"/>
      <c r="F9" s="376"/>
      <c r="G9" s="376"/>
      <c r="H9" s="377">
        <v>0.6</v>
      </c>
      <c r="I9" s="375">
        <f>ROUNDUP(H7*H9,0)</f>
        <v>9389</v>
      </c>
      <c r="J9" s="1"/>
      <c r="K9" s="1"/>
      <c r="L9" s="1"/>
      <c r="M9" s="1"/>
      <c r="N9" s="1"/>
      <c r="O9" s="1"/>
      <c r="P9" s="1"/>
      <c r="Q9" s="6"/>
      <c r="W9" s="2"/>
      <c r="X9" s="1"/>
    </row>
    <row r="10" spans="2:25">
      <c r="B10" s="1"/>
      <c r="C10" s="376"/>
      <c r="D10" s="376"/>
      <c r="E10" s="376"/>
      <c r="F10" s="376"/>
      <c r="G10" s="376"/>
      <c r="H10" s="377"/>
      <c r="I10" s="375"/>
      <c r="J10" s="1"/>
      <c r="K10" s="1"/>
      <c r="L10" s="1"/>
      <c r="M10" s="1"/>
      <c r="N10" s="1"/>
      <c r="O10" s="1"/>
      <c r="P10" s="1"/>
      <c r="Q10" s="6"/>
      <c r="W10" s="2"/>
      <c r="X10" s="1"/>
    </row>
    <row r="11" spans="2:25">
      <c r="B11" s="1"/>
      <c r="C11" s="376" t="s">
        <v>13</v>
      </c>
      <c r="D11" s="376"/>
      <c r="E11" s="376"/>
      <c r="F11" s="376"/>
      <c r="G11" s="376"/>
      <c r="H11" s="377">
        <v>0.4</v>
      </c>
      <c r="I11" s="375">
        <f>ROUNDUP(H7*H11,0)</f>
        <v>6260</v>
      </c>
      <c r="J11" s="1"/>
      <c r="K11" s="1"/>
      <c r="L11" s="1"/>
      <c r="M11" s="1"/>
      <c r="N11" s="1"/>
      <c r="O11" s="1"/>
      <c r="P11" s="1"/>
      <c r="Q11" s="6"/>
      <c r="W11" s="21"/>
      <c r="X11" s="1"/>
    </row>
    <row r="12" spans="2:25" ht="14.55" customHeight="1">
      <c r="B12" s="1"/>
      <c r="C12" s="376"/>
      <c r="D12" s="376"/>
      <c r="E12" s="376"/>
      <c r="F12" s="376"/>
      <c r="G12" s="376"/>
      <c r="H12" s="377"/>
      <c r="I12" s="375"/>
      <c r="J12" s="1"/>
      <c r="K12" s="1"/>
      <c r="L12" s="1"/>
      <c r="M12" s="27"/>
      <c r="N12" s="28"/>
      <c r="O12" s="28"/>
      <c r="P12" s="28"/>
      <c r="Q12" s="28"/>
      <c r="R12" s="28"/>
      <c r="S12" s="27"/>
      <c r="T12" s="27"/>
      <c r="U12" s="27"/>
      <c r="V12" s="27"/>
      <c r="W12" s="21"/>
      <c r="X12" s="1"/>
    </row>
    <row r="13" spans="2:25" ht="14.55" customHeight="1" thickBot="1">
      <c r="B13" s="1"/>
      <c r="C13" s="17"/>
      <c r="D13" s="17"/>
      <c r="E13" s="17"/>
      <c r="F13" s="17"/>
      <c r="G13" s="17"/>
      <c r="H13" s="24"/>
      <c r="I13" s="1"/>
      <c r="J13" s="1"/>
      <c r="K13" s="1"/>
      <c r="L13" s="1"/>
      <c r="M13" s="27"/>
      <c r="N13" s="28"/>
      <c r="O13" s="28"/>
      <c r="P13" s="28"/>
      <c r="Q13" s="28"/>
      <c r="R13" s="28"/>
      <c r="S13" s="27"/>
      <c r="T13" s="27"/>
      <c r="U13" s="27"/>
      <c r="V13" s="27"/>
      <c r="W13" s="21"/>
      <c r="X13" s="1"/>
    </row>
    <row r="14" spans="2:25" ht="14.55" customHeight="1">
      <c r="B14" s="1"/>
      <c r="C14" s="17"/>
      <c r="D14" s="17"/>
      <c r="E14" s="17"/>
      <c r="F14" s="17"/>
      <c r="G14" s="17"/>
      <c r="H14" s="24"/>
      <c r="I14" s="1"/>
      <c r="J14" s="1"/>
      <c r="K14" s="1"/>
      <c r="L14" s="1"/>
      <c r="M14" s="390" t="s">
        <v>14</v>
      </c>
      <c r="N14" s="385" t="s">
        <v>15</v>
      </c>
      <c r="O14" s="385"/>
      <c r="P14" s="385"/>
      <c r="Q14" s="385"/>
      <c r="R14" s="385"/>
      <c r="S14" s="385" t="s">
        <v>16</v>
      </c>
      <c r="T14" s="385" t="s">
        <v>17</v>
      </c>
      <c r="U14" s="386" t="s">
        <v>18</v>
      </c>
      <c r="V14" s="28"/>
      <c r="W14" s="21"/>
      <c r="X14" s="1"/>
    </row>
    <row r="15" spans="2:25" ht="14.55" customHeight="1">
      <c r="B15" s="1"/>
      <c r="C15" s="17"/>
      <c r="D15" s="17"/>
      <c r="E15" s="17"/>
      <c r="F15" s="17"/>
      <c r="G15" s="17"/>
      <c r="H15" s="24"/>
      <c r="I15" s="1"/>
      <c r="J15" s="1"/>
      <c r="K15" s="1"/>
      <c r="L15" s="1"/>
      <c r="M15" s="391"/>
      <c r="N15" s="347"/>
      <c r="O15" s="347"/>
      <c r="P15" s="347"/>
      <c r="Q15" s="347"/>
      <c r="R15" s="347"/>
      <c r="S15" s="343"/>
      <c r="T15" s="343"/>
      <c r="U15" s="387"/>
      <c r="V15" s="28"/>
      <c r="W15" s="21"/>
      <c r="X15" s="1"/>
    </row>
    <row r="16" spans="2:25" ht="14.55" customHeight="1">
      <c r="B16" s="1"/>
      <c r="C16" s="17"/>
      <c r="D16" s="17"/>
      <c r="E16" s="17"/>
      <c r="F16" s="17"/>
      <c r="G16" s="17"/>
      <c r="H16" s="24"/>
      <c r="I16" s="1"/>
      <c r="J16" s="1"/>
      <c r="K16" s="1"/>
      <c r="L16" s="1"/>
      <c r="M16" s="362" t="s">
        <v>19</v>
      </c>
      <c r="N16" s="354" t="s">
        <v>20</v>
      </c>
      <c r="O16" s="354"/>
      <c r="P16" s="354"/>
      <c r="Q16" s="354"/>
      <c r="R16" s="354"/>
      <c r="S16" s="383">
        <v>0.97</v>
      </c>
      <c r="T16" s="383">
        <v>0.99</v>
      </c>
      <c r="U16" s="382">
        <v>1</v>
      </c>
      <c r="V16" s="56"/>
      <c r="W16" s="21"/>
      <c r="X16" s="1"/>
    </row>
    <row r="17" spans="2:24" ht="15.75">
      <c r="B17" s="1"/>
      <c r="C17" s="17"/>
      <c r="D17" s="17"/>
      <c r="E17" s="17"/>
      <c r="F17" s="17"/>
      <c r="G17" s="17"/>
      <c r="H17" s="24"/>
      <c r="I17" s="1"/>
      <c r="J17" s="1"/>
      <c r="K17" s="1"/>
      <c r="L17" s="1"/>
      <c r="M17" s="362"/>
      <c r="N17" s="354"/>
      <c r="O17" s="354"/>
      <c r="P17" s="354"/>
      <c r="Q17" s="354"/>
      <c r="R17" s="354"/>
      <c r="S17" s="383"/>
      <c r="T17" s="383"/>
      <c r="U17" s="382"/>
      <c r="V17" s="56"/>
      <c r="W17" s="21"/>
      <c r="X17" s="1"/>
    </row>
    <row r="18" spans="2:24" ht="14.55" customHeight="1">
      <c r="B18" s="1"/>
      <c r="C18" s="17"/>
      <c r="D18" s="17"/>
      <c r="E18" s="17"/>
      <c r="F18" s="17"/>
      <c r="G18" s="17"/>
      <c r="H18" s="24"/>
      <c r="I18" s="1"/>
      <c r="J18" s="1"/>
      <c r="K18" s="1"/>
      <c r="L18" s="1"/>
      <c r="M18" s="362"/>
      <c r="N18" s="354"/>
      <c r="O18" s="354"/>
      <c r="P18" s="354"/>
      <c r="Q18" s="354"/>
      <c r="R18" s="354"/>
      <c r="S18" s="383"/>
      <c r="T18" s="383"/>
      <c r="U18" s="382"/>
      <c r="V18" s="56"/>
      <c r="W18" s="21"/>
      <c r="X18" s="1"/>
    </row>
    <row r="19" spans="2:24" ht="15.75">
      <c r="B19" s="1"/>
      <c r="C19" s="17"/>
      <c r="D19" s="17"/>
      <c r="E19" s="17"/>
      <c r="F19" s="17"/>
      <c r="G19" s="17"/>
      <c r="H19" s="24"/>
      <c r="I19" s="1"/>
      <c r="J19" s="1"/>
      <c r="K19" s="1"/>
      <c r="L19" s="1"/>
      <c r="M19" s="362"/>
      <c r="N19" s="354"/>
      <c r="O19" s="354"/>
      <c r="P19" s="354"/>
      <c r="Q19" s="354"/>
      <c r="R19" s="354"/>
      <c r="S19" s="383"/>
      <c r="T19" s="383"/>
      <c r="U19" s="382"/>
      <c r="V19" s="56"/>
      <c r="W19" s="21"/>
      <c r="X19" s="1"/>
    </row>
    <row r="20" spans="2:24" ht="14.55" customHeight="1">
      <c r="B20" s="1"/>
      <c r="C20" s="17"/>
      <c r="D20" s="17"/>
      <c r="E20" s="17"/>
      <c r="F20" s="17"/>
      <c r="G20" s="17"/>
      <c r="H20" s="24"/>
      <c r="I20" s="1"/>
      <c r="J20" s="1"/>
      <c r="K20" s="1"/>
      <c r="L20" s="1"/>
      <c r="M20" s="362" t="s">
        <v>21</v>
      </c>
      <c r="N20" s="354" t="s">
        <v>22</v>
      </c>
      <c r="O20" s="354"/>
      <c r="P20" s="354"/>
      <c r="Q20" s="354"/>
      <c r="R20" s="354"/>
      <c r="S20" s="383">
        <v>0.98</v>
      </c>
      <c r="T20" s="383">
        <v>0.97</v>
      </c>
      <c r="U20" s="382">
        <v>0.97</v>
      </c>
      <c r="V20" s="56"/>
      <c r="W20" s="21"/>
      <c r="X20" s="1"/>
    </row>
    <row r="21" spans="2:24" ht="15.75">
      <c r="B21" s="1"/>
      <c r="C21" s="17"/>
      <c r="D21" s="17"/>
      <c r="E21" s="17"/>
      <c r="F21" s="17"/>
      <c r="G21" s="17"/>
      <c r="H21" s="24"/>
      <c r="I21" s="1"/>
      <c r="J21" s="1"/>
      <c r="K21" s="1"/>
      <c r="L21" s="1"/>
      <c r="M21" s="362"/>
      <c r="N21" s="354"/>
      <c r="O21" s="354"/>
      <c r="P21" s="354"/>
      <c r="Q21" s="354"/>
      <c r="R21" s="354"/>
      <c r="S21" s="383"/>
      <c r="T21" s="383"/>
      <c r="U21" s="382"/>
      <c r="V21" s="56"/>
      <c r="W21" s="21"/>
      <c r="X21" s="1"/>
    </row>
    <row r="22" spans="2:24" ht="15.75">
      <c r="B22" s="1"/>
      <c r="C22" s="17"/>
      <c r="D22" s="17"/>
      <c r="E22" s="17"/>
      <c r="F22" s="17"/>
      <c r="G22" s="17"/>
      <c r="H22" s="24"/>
      <c r="I22" s="1"/>
      <c r="J22" s="1"/>
      <c r="K22" s="1"/>
      <c r="L22" s="1"/>
      <c r="M22" s="362"/>
      <c r="N22" s="354"/>
      <c r="O22" s="354"/>
      <c r="P22" s="354"/>
      <c r="Q22" s="354"/>
      <c r="R22" s="354"/>
      <c r="S22" s="383"/>
      <c r="T22" s="383"/>
      <c r="U22" s="382"/>
      <c r="V22" s="56"/>
      <c r="W22" s="21"/>
      <c r="X22" s="1"/>
    </row>
    <row r="23" spans="2:24" ht="15.75">
      <c r="B23" s="1"/>
      <c r="C23" s="17"/>
      <c r="D23" s="17"/>
      <c r="E23" s="17"/>
      <c r="F23" s="17"/>
      <c r="G23" s="17"/>
      <c r="H23" s="24"/>
      <c r="I23" s="1"/>
      <c r="J23" s="1" t="s">
        <v>23</v>
      </c>
      <c r="K23" s="1"/>
      <c r="L23" s="1"/>
      <c r="M23" s="362"/>
      <c r="N23" s="354"/>
      <c r="O23" s="354"/>
      <c r="P23" s="354"/>
      <c r="Q23" s="354"/>
      <c r="R23" s="354"/>
      <c r="S23" s="383"/>
      <c r="T23" s="383"/>
      <c r="U23" s="382"/>
      <c r="V23" s="56"/>
      <c r="W23" s="21"/>
      <c r="X23" s="1"/>
    </row>
    <row r="24" spans="2:24" ht="15.75">
      <c r="B24" s="1"/>
      <c r="C24" s="17"/>
      <c r="D24" s="17"/>
      <c r="E24" s="17"/>
      <c r="F24" s="17"/>
      <c r="G24" s="17"/>
      <c r="H24" s="24"/>
      <c r="I24" s="1"/>
      <c r="J24" s="1"/>
      <c r="K24" s="1"/>
      <c r="L24" s="1"/>
      <c r="M24" s="362"/>
      <c r="N24" s="354"/>
      <c r="O24" s="354"/>
      <c r="P24" s="354"/>
      <c r="Q24" s="354"/>
      <c r="R24" s="354"/>
      <c r="S24" s="383"/>
      <c r="T24" s="383"/>
      <c r="U24" s="382"/>
      <c r="V24" s="56"/>
      <c r="W24" s="21"/>
      <c r="X24" s="1"/>
    </row>
    <row r="25" spans="2:24" ht="15.75">
      <c r="B25" s="1"/>
      <c r="C25" s="17"/>
      <c r="D25" s="17"/>
      <c r="E25" s="17"/>
      <c r="F25" s="17"/>
      <c r="G25" s="17"/>
      <c r="H25" s="24"/>
      <c r="I25" s="1"/>
      <c r="J25" s="1"/>
      <c r="K25" s="1"/>
      <c r="L25" s="1"/>
      <c r="M25" s="362"/>
      <c r="N25" s="354"/>
      <c r="O25" s="354"/>
      <c r="P25" s="354"/>
      <c r="Q25" s="354"/>
      <c r="R25" s="354"/>
      <c r="S25" s="383"/>
      <c r="T25" s="383"/>
      <c r="U25" s="382"/>
      <c r="V25" s="56"/>
      <c r="W25" s="21"/>
      <c r="X25" s="1"/>
    </row>
    <row r="26" spans="2:24" ht="15.75">
      <c r="B26" s="1"/>
      <c r="C26" s="17"/>
      <c r="D26" s="17"/>
      <c r="E26" s="17"/>
      <c r="F26" s="17"/>
      <c r="G26" s="17"/>
      <c r="H26" s="24"/>
      <c r="I26" s="1"/>
      <c r="J26" s="1"/>
      <c r="K26" s="1"/>
      <c r="L26" s="1"/>
      <c r="M26" s="362" t="s">
        <v>24</v>
      </c>
      <c r="N26" s="354" t="s">
        <v>25</v>
      </c>
      <c r="O26" s="354"/>
      <c r="P26" s="354"/>
      <c r="Q26" s="354"/>
      <c r="R26" s="354"/>
      <c r="S26" s="383">
        <v>0.98</v>
      </c>
      <c r="T26" s="383">
        <v>0.99</v>
      </c>
      <c r="U26" s="382">
        <v>0.98</v>
      </c>
      <c r="V26" s="56"/>
      <c r="W26" s="21"/>
      <c r="X26" s="1"/>
    </row>
    <row r="27" spans="2:24" ht="15.75">
      <c r="B27" s="1"/>
      <c r="C27" s="17"/>
      <c r="D27" s="17"/>
      <c r="E27" s="17"/>
      <c r="F27" s="17"/>
      <c r="G27" s="17"/>
      <c r="H27" s="24"/>
      <c r="I27" s="1"/>
      <c r="J27" s="1"/>
      <c r="K27" s="1"/>
      <c r="L27" s="1"/>
      <c r="M27" s="362"/>
      <c r="N27" s="354"/>
      <c r="O27" s="354"/>
      <c r="P27" s="354"/>
      <c r="Q27" s="354"/>
      <c r="R27" s="354"/>
      <c r="S27" s="383"/>
      <c r="T27" s="383"/>
      <c r="U27" s="382"/>
      <c r="V27" s="56"/>
      <c r="W27" s="21"/>
      <c r="X27" s="1"/>
    </row>
    <row r="28" spans="2:24" ht="15.75">
      <c r="B28" s="1"/>
      <c r="C28" s="17"/>
      <c r="D28" s="17"/>
      <c r="E28" s="17"/>
      <c r="F28" s="17"/>
      <c r="G28" s="17"/>
      <c r="H28" s="24"/>
      <c r="I28" s="1"/>
      <c r="J28" s="1"/>
      <c r="K28" s="1"/>
      <c r="L28" s="1"/>
      <c r="M28" s="362" t="s">
        <v>26</v>
      </c>
      <c r="N28" s="354" t="s">
        <v>27</v>
      </c>
      <c r="O28" s="354"/>
      <c r="P28" s="354"/>
      <c r="Q28" s="354"/>
      <c r="R28" s="354"/>
      <c r="S28" s="383">
        <v>0.98</v>
      </c>
      <c r="T28" s="383">
        <v>0.99</v>
      </c>
      <c r="U28" s="382">
        <v>0.99</v>
      </c>
      <c r="V28" s="56"/>
      <c r="W28" s="21"/>
      <c r="X28" s="1"/>
    </row>
    <row r="29" spans="2:24" ht="16.149999999999999" thickBot="1">
      <c r="B29" s="1"/>
      <c r="C29" s="17"/>
      <c r="D29" s="17"/>
      <c r="E29" s="17"/>
      <c r="F29" s="17"/>
      <c r="G29" s="17"/>
      <c r="H29" s="24"/>
      <c r="I29" s="1"/>
      <c r="J29" s="1"/>
      <c r="K29" s="1"/>
      <c r="L29" s="1"/>
      <c r="M29" s="363"/>
      <c r="N29" s="393"/>
      <c r="O29" s="393"/>
      <c r="P29" s="393"/>
      <c r="Q29" s="393"/>
      <c r="R29" s="393"/>
      <c r="S29" s="384"/>
      <c r="T29" s="384"/>
      <c r="U29" s="392"/>
      <c r="V29" s="56"/>
      <c r="W29" s="21"/>
      <c r="X29" s="1"/>
    </row>
    <row r="30" spans="2:24" ht="14.65" thickBot="1">
      <c r="B30" s="1"/>
      <c r="C30" s="15"/>
      <c r="D30" s="15"/>
      <c r="E30" s="19"/>
      <c r="F30" s="19"/>
      <c r="G30" s="19"/>
      <c r="H30" s="19"/>
      <c r="I30" s="19"/>
      <c r="J30" s="1"/>
      <c r="K30" s="1"/>
      <c r="L30" s="1"/>
      <c r="M30" s="15"/>
      <c r="N30" s="18"/>
      <c r="O30" s="18"/>
      <c r="P30" s="18"/>
      <c r="Q30" s="18"/>
      <c r="R30" s="18"/>
      <c r="S30" s="23"/>
      <c r="T30" s="23"/>
      <c r="U30" s="23"/>
      <c r="V30" s="23"/>
      <c r="W30" s="21"/>
      <c r="X30" s="1"/>
    </row>
    <row r="31" spans="2:24">
      <c r="B31" s="1"/>
      <c r="C31" s="15"/>
      <c r="D31" s="15"/>
      <c r="E31" s="18"/>
      <c r="F31" s="18"/>
      <c r="G31" s="18"/>
      <c r="H31" s="18"/>
      <c r="I31" s="18"/>
      <c r="J31" s="1"/>
      <c r="K31" s="1"/>
      <c r="L31" s="1"/>
      <c r="M31" s="378" t="s">
        <v>28</v>
      </c>
      <c r="N31" s="379"/>
      <c r="O31" s="379"/>
      <c r="P31" s="379" t="s">
        <v>29</v>
      </c>
      <c r="Q31" s="388" t="s">
        <v>30</v>
      </c>
      <c r="R31" s="18"/>
      <c r="S31" s="23"/>
      <c r="T31" s="23"/>
      <c r="U31" s="23"/>
      <c r="V31" s="23"/>
      <c r="W31" s="21"/>
      <c r="X31" s="1"/>
    </row>
    <row r="32" spans="2:24">
      <c r="B32" s="1"/>
      <c r="C32" s="1"/>
      <c r="D32" s="1"/>
      <c r="E32" s="370"/>
      <c r="F32" s="370"/>
      <c r="G32" s="370"/>
      <c r="H32" s="370"/>
      <c r="I32" s="370"/>
      <c r="J32" s="1"/>
      <c r="K32" s="1"/>
      <c r="L32" s="1"/>
      <c r="M32" s="369"/>
      <c r="N32" s="334"/>
      <c r="O32" s="334"/>
      <c r="P32" s="335"/>
      <c r="Q32" s="389"/>
      <c r="R32" s="22"/>
      <c r="S32" s="18"/>
      <c r="T32" s="18"/>
      <c r="U32" s="18"/>
      <c r="V32" s="18"/>
      <c r="W32" s="21"/>
      <c r="X32" s="1"/>
    </row>
    <row r="33" spans="1:24">
      <c r="A33" s="343" t="s">
        <v>31</v>
      </c>
      <c r="B33" s="347" t="s">
        <v>32</v>
      </c>
      <c r="C33" s="347" t="s">
        <v>33</v>
      </c>
      <c r="D33" s="347"/>
      <c r="E33" s="347"/>
      <c r="F33" s="347"/>
      <c r="G33" s="347"/>
      <c r="H33" s="380" t="s">
        <v>34</v>
      </c>
      <c r="I33" s="381"/>
      <c r="J33" s="347" t="s">
        <v>35</v>
      </c>
      <c r="K33" s="343" t="s">
        <v>36</v>
      </c>
      <c r="L33" s="1"/>
      <c r="M33" s="369"/>
      <c r="N33" s="334"/>
      <c r="O33" s="334"/>
      <c r="P33" s="335"/>
      <c r="Q33" s="389"/>
      <c r="R33" s="22"/>
      <c r="S33" s="18"/>
      <c r="T33" s="18"/>
      <c r="U33" s="18"/>
      <c r="V33" s="18"/>
      <c r="W33" s="21"/>
      <c r="X33" s="1"/>
    </row>
    <row r="34" spans="1:24">
      <c r="A34" s="343"/>
      <c r="B34" s="347"/>
      <c r="C34" s="347"/>
      <c r="D34" s="347"/>
      <c r="E34" s="347"/>
      <c r="F34" s="347"/>
      <c r="G34" s="347"/>
      <c r="H34" s="381"/>
      <c r="I34" s="381"/>
      <c r="J34" s="347"/>
      <c r="K34" s="343"/>
      <c r="L34" s="1"/>
      <c r="M34" s="362" t="s">
        <v>37</v>
      </c>
      <c r="N34" s="335"/>
      <c r="O34" s="335"/>
      <c r="P34" s="365">
        <v>10</v>
      </c>
      <c r="Q34" s="367">
        <v>3</v>
      </c>
      <c r="R34" s="8"/>
      <c r="S34" s="18"/>
      <c r="T34" s="18"/>
      <c r="U34" s="18"/>
      <c r="V34" s="18"/>
      <c r="W34" s="21"/>
      <c r="X34" s="1"/>
    </row>
    <row r="35" spans="1:24">
      <c r="A35" s="14" t="s">
        <v>38</v>
      </c>
      <c r="B35" s="10" t="s">
        <v>39</v>
      </c>
      <c r="C35" s="354" t="s">
        <v>40</v>
      </c>
      <c r="D35" s="354"/>
      <c r="E35" s="354"/>
      <c r="F35" s="354"/>
      <c r="G35" s="354"/>
      <c r="H35" s="355" t="s">
        <v>41</v>
      </c>
      <c r="I35" s="355"/>
      <c r="J35" s="25">
        <v>25</v>
      </c>
      <c r="K35" s="10">
        <v>2</v>
      </c>
      <c r="L35" s="1"/>
      <c r="M35" s="362"/>
      <c r="N35" s="335"/>
      <c r="O35" s="335"/>
      <c r="P35" s="365"/>
      <c r="Q35" s="367"/>
      <c r="R35" s="8"/>
      <c r="S35" s="18"/>
      <c r="T35" s="18"/>
      <c r="U35" s="18"/>
      <c r="V35" s="18"/>
      <c r="W35" s="21"/>
      <c r="X35" s="1"/>
    </row>
    <row r="36" spans="1:24">
      <c r="A36" s="14" t="s">
        <v>42</v>
      </c>
      <c r="B36" s="10" t="s">
        <v>39</v>
      </c>
      <c r="C36" s="354" t="s">
        <v>43</v>
      </c>
      <c r="D36" s="354"/>
      <c r="E36" s="354"/>
      <c r="F36" s="354"/>
      <c r="G36" s="354"/>
      <c r="H36" s="355" t="s">
        <v>44</v>
      </c>
      <c r="I36" s="355"/>
      <c r="J36" s="25">
        <v>25</v>
      </c>
      <c r="K36" s="10">
        <v>2</v>
      </c>
      <c r="L36" s="1"/>
      <c r="M36" s="369" t="s">
        <v>45</v>
      </c>
      <c r="N36" s="335"/>
      <c r="O36" s="335"/>
      <c r="P36" s="365">
        <v>3</v>
      </c>
      <c r="Q36" s="367">
        <v>1</v>
      </c>
      <c r="R36" s="8"/>
      <c r="S36" s="18"/>
      <c r="T36" s="18"/>
      <c r="U36" s="18"/>
      <c r="V36" s="18"/>
      <c r="W36" s="21"/>
      <c r="X36" s="1"/>
    </row>
    <row r="37" spans="1:24">
      <c r="A37" s="14" t="s">
        <v>46</v>
      </c>
      <c r="B37" s="10" t="s">
        <v>39</v>
      </c>
      <c r="C37" s="354" t="s">
        <v>47</v>
      </c>
      <c r="D37" s="354"/>
      <c r="E37" s="354"/>
      <c r="F37" s="354"/>
      <c r="G37" s="354"/>
      <c r="H37" s="355" t="s">
        <v>48</v>
      </c>
      <c r="I37" s="355"/>
      <c r="J37" s="25">
        <v>25</v>
      </c>
      <c r="K37" s="10">
        <v>2</v>
      </c>
      <c r="L37" s="1"/>
      <c r="M37" s="362"/>
      <c r="N37" s="335"/>
      <c r="O37" s="335"/>
      <c r="P37" s="365"/>
      <c r="Q37" s="367"/>
      <c r="R37" s="8"/>
      <c r="S37" s="18"/>
      <c r="T37" s="18"/>
      <c r="U37" s="18"/>
      <c r="V37" s="18"/>
      <c r="W37" s="21"/>
      <c r="X37" s="1"/>
    </row>
    <row r="38" spans="1:24">
      <c r="A38" s="14"/>
      <c r="B38" s="10"/>
      <c r="C38" s="354"/>
      <c r="D38" s="354"/>
      <c r="E38" s="354"/>
      <c r="F38" s="354"/>
      <c r="G38" s="354"/>
      <c r="H38" s="355"/>
      <c r="I38" s="355"/>
      <c r="J38" s="25"/>
      <c r="K38" s="10"/>
      <c r="L38" s="1"/>
      <c r="M38" s="362" t="s">
        <v>49</v>
      </c>
      <c r="N38" s="335"/>
      <c r="O38" s="335"/>
      <c r="P38" s="365">
        <v>10</v>
      </c>
      <c r="Q38" s="367">
        <v>3</v>
      </c>
      <c r="R38" s="8"/>
      <c r="S38" s="18"/>
      <c r="T38" s="18"/>
      <c r="U38" s="18"/>
      <c r="V38" s="18"/>
      <c r="W38" s="21"/>
      <c r="X38" s="1"/>
    </row>
    <row r="39" spans="1:24">
      <c r="A39" s="14" t="s">
        <v>50</v>
      </c>
      <c r="B39" s="10" t="s">
        <v>51</v>
      </c>
      <c r="C39" s="354" t="s">
        <v>52</v>
      </c>
      <c r="D39" s="354"/>
      <c r="E39" s="354"/>
      <c r="F39" s="354"/>
      <c r="G39" s="354"/>
      <c r="H39" s="355" t="s">
        <v>53</v>
      </c>
      <c r="I39" s="355"/>
      <c r="J39" s="25">
        <v>200</v>
      </c>
      <c r="K39" s="10">
        <v>4</v>
      </c>
      <c r="L39" s="1"/>
      <c r="M39" s="362"/>
      <c r="N39" s="335"/>
      <c r="O39" s="335"/>
      <c r="P39" s="365"/>
      <c r="Q39" s="367"/>
      <c r="R39" s="8"/>
      <c r="S39" s="18"/>
      <c r="T39" s="18"/>
      <c r="U39" s="18"/>
      <c r="V39" s="18"/>
      <c r="W39" s="21"/>
      <c r="X39" s="1"/>
    </row>
    <row r="40" spans="1:24" ht="14.25" customHeight="1">
      <c r="A40" s="14" t="s">
        <v>54</v>
      </c>
      <c r="B40" s="10" t="s">
        <v>51</v>
      </c>
      <c r="C40" s="354" t="s">
        <v>55</v>
      </c>
      <c r="D40" s="354"/>
      <c r="E40" s="354"/>
      <c r="F40" s="354"/>
      <c r="G40" s="354"/>
      <c r="H40" s="355" t="s">
        <v>53</v>
      </c>
      <c r="I40" s="355"/>
      <c r="J40" s="25">
        <v>200</v>
      </c>
      <c r="K40" s="10">
        <v>4</v>
      </c>
      <c r="L40" s="1"/>
      <c r="M40" s="362" t="s">
        <v>56</v>
      </c>
      <c r="N40" s="335"/>
      <c r="O40" s="335"/>
      <c r="P40" s="365">
        <v>5</v>
      </c>
      <c r="Q40" s="367">
        <v>1</v>
      </c>
      <c r="R40" s="8"/>
      <c r="S40" s="18"/>
      <c r="T40" s="18"/>
      <c r="U40" s="18"/>
      <c r="V40" s="18"/>
      <c r="W40" s="21"/>
      <c r="X40" s="1"/>
    </row>
    <row r="41" spans="1:24">
      <c r="A41" s="14"/>
      <c r="B41" s="10"/>
      <c r="C41" s="354"/>
      <c r="D41" s="354"/>
      <c r="E41" s="354"/>
      <c r="F41" s="354"/>
      <c r="G41" s="354"/>
      <c r="H41" s="355"/>
      <c r="I41" s="355"/>
      <c r="J41" s="25"/>
      <c r="K41" s="10"/>
      <c r="L41" s="1"/>
      <c r="M41" s="362"/>
      <c r="N41" s="335"/>
      <c r="O41" s="335"/>
      <c r="P41" s="365"/>
      <c r="Q41" s="367"/>
      <c r="R41" s="8"/>
      <c r="S41" s="18"/>
      <c r="T41" s="18"/>
      <c r="U41" s="18"/>
      <c r="V41" s="18"/>
      <c r="W41" s="21"/>
      <c r="X41" s="1"/>
    </row>
    <row r="42" spans="1:24">
      <c r="A42" s="14"/>
      <c r="B42" s="10"/>
      <c r="C42" s="354"/>
      <c r="D42" s="354"/>
      <c r="E42" s="354"/>
      <c r="F42" s="354"/>
      <c r="G42" s="354"/>
      <c r="H42" s="355"/>
      <c r="I42" s="355"/>
      <c r="J42" s="25"/>
      <c r="K42" s="10"/>
      <c r="L42" s="1"/>
      <c r="M42" s="362" t="s">
        <v>57</v>
      </c>
      <c r="N42" s="335"/>
      <c r="O42" s="335"/>
      <c r="P42" s="365">
        <v>10</v>
      </c>
      <c r="Q42" s="367">
        <v>3</v>
      </c>
      <c r="R42" s="8"/>
      <c r="S42" s="18"/>
      <c r="T42" s="18"/>
      <c r="U42" s="18"/>
      <c r="V42" s="18"/>
      <c r="W42" s="21"/>
      <c r="X42" s="1"/>
    </row>
    <row r="43" spans="1:24" ht="14.65" thickBot="1">
      <c r="A43" s="14"/>
      <c r="B43" s="26"/>
      <c r="C43" s="354"/>
      <c r="D43" s="354"/>
      <c r="E43" s="354"/>
      <c r="F43" s="354"/>
      <c r="G43" s="354"/>
      <c r="H43" s="355"/>
      <c r="I43" s="355"/>
      <c r="J43" s="25"/>
      <c r="K43" s="10"/>
      <c r="L43" s="1"/>
      <c r="M43" s="363"/>
      <c r="N43" s="364"/>
      <c r="O43" s="364"/>
      <c r="P43" s="366"/>
      <c r="Q43" s="368"/>
      <c r="R43" s="8"/>
      <c r="S43" s="18"/>
      <c r="T43" s="18"/>
      <c r="U43" s="18"/>
      <c r="V43" s="18"/>
      <c r="W43" s="21"/>
      <c r="X43" s="1"/>
    </row>
    <row r="44" spans="1:24">
      <c r="A44" s="14"/>
      <c r="B44" s="10"/>
      <c r="C44" s="354"/>
      <c r="D44" s="354"/>
      <c r="E44" s="354"/>
      <c r="F44" s="354"/>
      <c r="G44" s="354"/>
      <c r="H44" s="355"/>
      <c r="I44" s="355"/>
      <c r="J44" s="25"/>
      <c r="K44" s="10"/>
      <c r="L44" s="1"/>
      <c r="M44" s="22"/>
      <c r="N44" s="8"/>
      <c r="O44" s="8"/>
      <c r="P44" s="8"/>
      <c r="Q44" s="8"/>
      <c r="R44" s="8"/>
      <c r="S44" s="18"/>
      <c r="T44" s="18"/>
      <c r="U44" s="18"/>
      <c r="V44" s="18"/>
      <c r="W44" s="21"/>
      <c r="X44" s="1"/>
    </row>
    <row r="45" spans="1:24" ht="14.65" thickBot="1">
      <c r="A45" s="14" t="s">
        <v>58</v>
      </c>
      <c r="B45" s="10" t="s">
        <v>59</v>
      </c>
      <c r="C45" s="354" t="s">
        <v>60</v>
      </c>
      <c r="D45" s="354"/>
      <c r="E45" s="354"/>
      <c r="F45" s="354"/>
      <c r="G45" s="354"/>
      <c r="H45" s="355" t="s">
        <v>61</v>
      </c>
      <c r="I45" s="355"/>
      <c r="J45" s="25">
        <v>1</v>
      </c>
      <c r="K45" s="10">
        <v>2</v>
      </c>
      <c r="L45" s="1"/>
      <c r="M45" s="22"/>
      <c r="N45" s="8"/>
      <c r="O45" s="8"/>
      <c r="P45" s="8"/>
      <c r="Q45" s="8"/>
      <c r="R45" s="8"/>
      <c r="S45" s="18"/>
      <c r="T45" s="18"/>
      <c r="U45" s="18"/>
      <c r="V45" s="18"/>
      <c r="W45" s="21"/>
      <c r="X45" s="1"/>
    </row>
    <row r="46" spans="1:24">
      <c r="A46" s="14" t="s">
        <v>62</v>
      </c>
      <c r="B46" s="10" t="s">
        <v>59</v>
      </c>
      <c r="C46" s="354" t="s">
        <v>63</v>
      </c>
      <c r="D46" s="354"/>
      <c r="E46" s="354"/>
      <c r="F46" s="354"/>
      <c r="G46" s="354"/>
      <c r="H46" s="355" t="s">
        <v>61</v>
      </c>
      <c r="I46" s="355"/>
      <c r="J46" s="25">
        <v>1</v>
      </c>
      <c r="K46" s="10">
        <v>2</v>
      </c>
      <c r="L46" s="1"/>
      <c r="M46" s="357" t="s">
        <v>64</v>
      </c>
      <c r="N46" s="358"/>
      <c r="O46" s="358"/>
      <c r="P46" s="358"/>
      <c r="Q46" s="358"/>
      <c r="R46" s="41" t="s">
        <v>31</v>
      </c>
      <c r="S46" s="32" t="s">
        <v>65</v>
      </c>
      <c r="T46" s="32" t="s">
        <v>66</v>
      </c>
      <c r="U46" s="33" t="s">
        <v>67</v>
      </c>
      <c r="V46" s="18"/>
      <c r="W46" s="21"/>
      <c r="X46" s="1"/>
    </row>
    <row r="47" spans="1:24">
      <c r="A47" s="14" t="s">
        <v>68</v>
      </c>
      <c r="B47" s="10" t="s">
        <v>69</v>
      </c>
      <c r="C47" s="354" t="s">
        <v>70</v>
      </c>
      <c r="D47" s="354"/>
      <c r="E47" s="354"/>
      <c r="F47" s="354"/>
      <c r="G47" s="354"/>
      <c r="H47" s="355" t="s">
        <v>71</v>
      </c>
      <c r="I47" s="355"/>
      <c r="J47" s="25">
        <v>4</v>
      </c>
      <c r="K47" s="10">
        <v>2</v>
      </c>
      <c r="L47" s="1"/>
      <c r="M47" s="369" t="s">
        <v>20</v>
      </c>
      <c r="N47" s="334"/>
      <c r="O47" s="359" t="s">
        <v>72</v>
      </c>
      <c r="P47" s="360"/>
      <c r="Q47" s="361"/>
      <c r="R47" s="44" t="s">
        <v>73</v>
      </c>
      <c r="S47" s="10">
        <v>500</v>
      </c>
      <c r="T47" s="10">
        <v>120</v>
      </c>
      <c r="U47" s="34">
        <v>2</v>
      </c>
      <c r="V47" s="18"/>
      <c r="W47" s="21"/>
      <c r="X47" s="1"/>
    </row>
    <row r="48" spans="1:24">
      <c r="A48" s="14" t="s">
        <v>74</v>
      </c>
      <c r="B48" s="10" t="s">
        <v>69</v>
      </c>
      <c r="C48" s="354" t="s">
        <v>75</v>
      </c>
      <c r="D48" s="354"/>
      <c r="E48" s="354"/>
      <c r="F48" s="354"/>
      <c r="G48" s="354"/>
      <c r="H48" s="355" t="s">
        <v>71</v>
      </c>
      <c r="I48" s="355"/>
      <c r="J48" s="25">
        <v>4</v>
      </c>
      <c r="K48" s="10">
        <v>2</v>
      </c>
      <c r="L48" s="1"/>
      <c r="M48" s="369"/>
      <c r="N48" s="334"/>
      <c r="O48" s="359" t="s">
        <v>76</v>
      </c>
      <c r="P48" s="360"/>
      <c r="Q48" s="361"/>
      <c r="R48" s="44" t="s">
        <v>77</v>
      </c>
      <c r="S48" s="10">
        <v>215</v>
      </c>
      <c r="T48" s="10">
        <v>120</v>
      </c>
      <c r="U48" s="34">
        <v>2</v>
      </c>
      <c r="V48" s="18"/>
      <c r="W48" s="21"/>
      <c r="X48" s="1"/>
    </row>
    <row r="49" spans="1:28">
      <c r="A49" s="14" t="s">
        <v>78</v>
      </c>
      <c r="B49" s="10" t="s">
        <v>69</v>
      </c>
      <c r="C49" s="354" t="s">
        <v>79</v>
      </c>
      <c r="D49" s="354"/>
      <c r="E49" s="354"/>
      <c r="F49" s="354"/>
      <c r="G49" s="354"/>
      <c r="H49" s="355" t="s">
        <v>80</v>
      </c>
      <c r="I49" s="355"/>
      <c r="J49" s="25">
        <v>12</v>
      </c>
      <c r="K49" s="10">
        <v>4</v>
      </c>
      <c r="L49" s="1"/>
      <c r="M49" s="369" t="s">
        <v>81</v>
      </c>
      <c r="N49" s="334"/>
      <c r="O49" s="359" t="s">
        <v>82</v>
      </c>
      <c r="P49" s="360"/>
      <c r="Q49" s="361"/>
      <c r="R49" s="44" t="s">
        <v>83</v>
      </c>
      <c r="S49" s="10">
        <v>500</v>
      </c>
      <c r="T49" s="10">
        <v>60</v>
      </c>
      <c r="U49" s="34">
        <v>8</v>
      </c>
      <c r="V49" s="18"/>
      <c r="W49" s="21"/>
      <c r="X49" s="1"/>
    </row>
    <row r="50" spans="1:28">
      <c r="A50" s="14" t="s">
        <v>84</v>
      </c>
      <c r="B50" s="10" t="s">
        <v>69</v>
      </c>
      <c r="C50" s="354" t="s">
        <v>85</v>
      </c>
      <c r="D50" s="354"/>
      <c r="E50" s="354"/>
      <c r="F50" s="354"/>
      <c r="G50" s="354"/>
      <c r="H50" s="355" t="s">
        <v>80</v>
      </c>
      <c r="I50" s="355"/>
      <c r="J50" s="25">
        <v>12</v>
      </c>
      <c r="K50" s="10">
        <v>4</v>
      </c>
      <c r="L50" s="1"/>
      <c r="M50" s="369"/>
      <c r="N50" s="334"/>
      <c r="O50" s="359" t="s">
        <v>86</v>
      </c>
      <c r="P50" s="360"/>
      <c r="Q50" s="361"/>
      <c r="R50" s="44" t="s">
        <v>87</v>
      </c>
      <c r="S50" s="10">
        <v>215</v>
      </c>
      <c r="T50" s="10">
        <v>60</v>
      </c>
      <c r="U50" s="34">
        <v>8</v>
      </c>
      <c r="V50" s="18"/>
      <c r="W50" s="21"/>
      <c r="X50" s="1"/>
    </row>
    <row r="51" spans="1:28">
      <c r="A51" s="14" t="s">
        <v>88</v>
      </c>
      <c r="B51" s="10" t="s">
        <v>51</v>
      </c>
      <c r="C51" s="354" t="s">
        <v>89</v>
      </c>
      <c r="D51" s="354"/>
      <c r="E51" s="354"/>
      <c r="F51" s="354"/>
      <c r="G51" s="354"/>
      <c r="H51" s="355" t="s">
        <v>90</v>
      </c>
      <c r="I51" s="355"/>
      <c r="J51" s="25">
        <v>50</v>
      </c>
      <c r="K51" s="10">
        <v>4</v>
      </c>
      <c r="L51" s="1"/>
      <c r="M51" s="369" t="s">
        <v>91</v>
      </c>
      <c r="N51" s="335"/>
      <c r="O51" s="359" t="s">
        <v>92</v>
      </c>
      <c r="P51" s="360"/>
      <c r="Q51" s="361"/>
      <c r="R51" s="44" t="s">
        <v>93</v>
      </c>
      <c r="S51" s="10">
        <v>500</v>
      </c>
      <c r="T51" s="10">
        <v>30</v>
      </c>
      <c r="U51" s="34">
        <v>1</v>
      </c>
      <c r="V51" s="57"/>
      <c r="W51" s="21"/>
      <c r="X51" s="1"/>
    </row>
    <row r="52" spans="1:28">
      <c r="A52" s="14" t="s">
        <v>94</v>
      </c>
      <c r="B52" s="10" t="s">
        <v>51</v>
      </c>
      <c r="C52" s="354" t="s">
        <v>95</v>
      </c>
      <c r="D52" s="354"/>
      <c r="E52" s="354"/>
      <c r="F52" s="354"/>
      <c r="G52" s="354"/>
      <c r="H52" s="355" t="s">
        <v>96</v>
      </c>
      <c r="I52" s="355"/>
      <c r="J52" s="25">
        <v>50</v>
      </c>
      <c r="K52" s="10">
        <v>4</v>
      </c>
      <c r="L52" s="1"/>
      <c r="M52" s="362"/>
      <c r="N52" s="335"/>
      <c r="O52" s="359" t="s">
        <v>97</v>
      </c>
      <c r="P52" s="360"/>
      <c r="Q52" s="361"/>
      <c r="R52" s="44" t="s">
        <v>98</v>
      </c>
      <c r="S52" s="10">
        <v>500</v>
      </c>
      <c r="T52" s="10">
        <v>30</v>
      </c>
      <c r="U52" s="34">
        <v>1</v>
      </c>
      <c r="V52" s="57"/>
      <c r="W52" s="2"/>
    </row>
    <row r="53" spans="1:28">
      <c r="A53" s="14"/>
      <c r="B53" s="10"/>
      <c r="C53" s="354"/>
      <c r="D53" s="354"/>
      <c r="E53" s="354"/>
      <c r="F53" s="354"/>
      <c r="G53" s="354"/>
      <c r="H53" s="355"/>
      <c r="I53" s="355"/>
      <c r="J53" s="25"/>
      <c r="K53" s="10"/>
      <c r="L53" s="1"/>
      <c r="M53" s="362"/>
      <c r="N53" s="335"/>
      <c r="O53" s="359" t="s">
        <v>99</v>
      </c>
      <c r="P53" s="360"/>
      <c r="Q53" s="361"/>
      <c r="R53" s="44" t="s">
        <v>100</v>
      </c>
      <c r="S53" s="10">
        <v>215</v>
      </c>
      <c r="T53" s="10">
        <v>30</v>
      </c>
      <c r="U53" s="34">
        <v>1.2</v>
      </c>
      <c r="V53" s="57"/>
      <c r="W53" s="2"/>
    </row>
    <row r="54" spans="1:28">
      <c r="A54" s="14"/>
      <c r="B54" s="10"/>
      <c r="C54" s="354"/>
      <c r="D54" s="354"/>
      <c r="E54" s="354"/>
      <c r="F54" s="354"/>
      <c r="G54" s="354"/>
      <c r="H54" s="355"/>
      <c r="I54" s="355"/>
      <c r="J54" s="25"/>
      <c r="K54" s="10"/>
      <c r="L54" s="1"/>
      <c r="M54" s="362"/>
      <c r="N54" s="335"/>
      <c r="O54" s="359" t="s">
        <v>101</v>
      </c>
      <c r="P54" s="360"/>
      <c r="Q54" s="361"/>
      <c r="R54" s="44" t="s">
        <v>102</v>
      </c>
      <c r="S54" s="10">
        <v>215</v>
      </c>
      <c r="T54" s="10">
        <v>30</v>
      </c>
      <c r="U54" s="34">
        <v>1.2</v>
      </c>
      <c r="V54" s="57"/>
      <c r="W54" s="2"/>
    </row>
    <row r="55" spans="1:28">
      <c r="A55" s="150" t="s">
        <v>98</v>
      </c>
      <c r="B55" s="10" t="s">
        <v>39</v>
      </c>
      <c r="C55" s="359" t="s">
        <v>103</v>
      </c>
      <c r="D55" s="360"/>
      <c r="E55" s="360"/>
      <c r="F55" s="360"/>
      <c r="G55" s="361"/>
      <c r="H55" s="356" t="s">
        <v>104</v>
      </c>
      <c r="I55" s="356"/>
      <c r="J55" s="25">
        <v>25</v>
      </c>
      <c r="K55" s="10">
        <v>1</v>
      </c>
      <c r="L55" s="1"/>
      <c r="M55" s="362"/>
      <c r="N55" s="335"/>
      <c r="O55" s="359" t="s">
        <v>105</v>
      </c>
      <c r="P55" s="360"/>
      <c r="Q55" s="361"/>
      <c r="R55" s="44" t="s">
        <v>106</v>
      </c>
      <c r="S55" s="10">
        <v>3000</v>
      </c>
      <c r="T55" s="10">
        <v>30</v>
      </c>
      <c r="U55" s="34">
        <v>0.3</v>
      </c>
      <c r="V55" s="57"/>
      <c r="W55" s="2"/>
    </row>
    <row r="56" spans="1:28">
      <c r="A56" s="150" t="s">
        <v>107</v>
      </c>
      <c r="B56" s="10" t="s">
        <v>39</v>
      </c>
      <c r="C56" s="359" t="s">
        <v>108</v>
      </c>
      <c r="D56" s="360"/>
      <c r="E56" s="360"/>
      <c r="F56" s="360"/>
      <c r="G56" s="361"/>
      <c r="H56" s="356" t="s">
        <v>104</v>
      </c>
      <c r="I56" s="356"/>
      <c r="J56" s="25">
        <v>25</v>
      </c>
      <c r="K56" s="10">
        <v>1</v>
      </c>
      <c r="L56" s="1"/>
      <c r="M56" s="362"/>
      <c r="N56" s="335"/>
      <c r="O56" s="359" t="s">
        <v>109</v>
      </c>
      <c r="P56" s="360"/>
      <c r="Q56" s="361"/>
      <c r="R56" s="44" t="s">
        <v>110</v>
      </c>
      <c r="S56" s="10">
        <v>3000</v>
      </c>
      <c r="T56" s="10">
        <v>30</v>
      </c>
      <c r="U56" s="34">
        <v>0.3</v>
      </c>
      <c r="V56" s="57"/>
      <c r="W56" s="2"/>
    </row>
    <row r="57" spans="1:28">
      <c r="A57" s="150" t="s">
        <v>102</v>
      </c>
      <c r="B57" s="10" t="s">
        <v>39</v>
      </c>
      <c r="C57" s="359" t="s">
        <v>111</v>
      </c>
      <c r="D57" s="360"/>
      <c r="E57" s="360"/>
      <c r="F57" s="360"/>
      <c r="G57" s="361"/>
      <c r="H57" s="356" t="s">
        <v>104</v>
      </c>
      <c r="I57" s="356"/>
      <c r="J57" s="25">
        <v>25</v>
      </c>
      <c r="K57" s="10">
        <v>1</v>
      </c>
      <c r="L57" s="1"/>
      <c r="M57" s="362"/>
      <c r="N57" s="335"/>
      <c r="O57" s="359" t="s">
        <v>112</v>
      </c>
      <c r="P57" s="360"/>
      <c r="Q57" s="361"/>
      <c r="R57" s="44" t="s">
        <v>113</v>
      </c>
      <c r="S57" s="10">
        <v>2000</v>
      </c>
      <c r="T57" s="10">
        <v>30</v>
      </c>
      <c r="U57" s="34">
        <v>0.5</v>
      </c>
      <c r="V57" s="57"/>
      <c r="W57" s="2"/>
    </row>
    <row r="58" spans="1:28" ht="14.65" thickBot="1">
      <c r="A58" s="150" t="s">
        <v>114</v>
      </c>
      <c r="B58" s="10" t="s">
        <v>39</v>
      </c>
      <c r="C58" s="359" t="s">
        <v>115</v>
      </c>
      <c r="D58" s="360"/>
      <c r="E58" s="360"/>
      <c r="F58" s="360"/>
      <c r="G58" s="361"/>
      <c r="H58" s="356" t="s">
        <v>104</v>
      </c>
      <c r="I58" s="356"/>
      <c r="J58" s="25">
        <v>25</v>
      </c>
      <c r="K58" s="10">
        <v>1</v>
      </c>
      <c r="L58" s="1"/>
      <c r="M58" s="363"/>
      <c r="N58" s="364"/>
      <c r="O58" s="397" t="s">
        <v>116</v>
      </c>
      <c r="P58" s="398"/>
      <c r="Q58" s="399"/>
      <c r="R58" s="45" t="s">
        <v>117</v>
      </c>
      <c r="S58" s="35">
        <v>2000</v>
      </c>
      <c r="T58" s="35">
        <v>30</v>
      </c>
      <c r="U58" s="36">
        <v>0.5</v>
      </c>
      <c r="V58" s="57"/>
      <c r="W58" s="2"/>
    </row>
    <row r="59" spans="1:28">
      <c r="A59" s="14" t="s">
        <v>110</v>
      </c>
      <c r="B59" s="10" t="s">
        <v>51</v>
      </c>
      <c r="C59" s="359" t="s">
        <v>118</v>
      </c>
      <c r="D59" s="360"/>
      <c r="E59" s="360"/>
      <c r="F59" s="360"/>
      <c r="G59" s="361"/>
      <c r="H59" s="355" t="s">
        <v>53</v>
      </c>
      <c r="I59" s="355"/>
      <c r="J59" s="25">
        <v>200</v>
      </c>
      <c r="K59" s="10">
        <v>4</v>
      </c>
      <c r="L59" s="1"/>
      <c r="M59" s="22"/>
      <c r="N59" s="22"/>
      <c r="O59" s="1"/>
      <c r="P59" s="1"/>
      <c r="Q59" s="1"/>
      <c r="R59" s="1"/>
      <c r="S59" s="1"/>
      <c r="T59" s="1"/>
      <c r="U59" s="1"/>
      <c r="W59" s="2"/>
    </row>
    <row r="60" spans="1:28">
      <c r="A60" s="14" t="s">
        <v>119</v>
      </c>
      <c r="B60" s="10" t="s">
        <v>51</v>
      </c>
      <c r="C60" s="359" t="s">
        <v>120</v>
      </c>
      <c r="D60" s="360"/>
      <c r="E60" s="360"/>
      <c r="F60" s="360"/>
      <c r="G60" s="361"/>
      <c r="H60" s="355" t="s">
        <v>53</v>
      </c>
      <c r="I60" s="355"/>
      <c r="J60" s="25">
        <v>200</v>
      </c>
      <c r="K60" s="10">
        <v>4</v>
      </c>
      <c r="L60" s="1"/>
      <c r="M60" s="22"/>
      <c r="N60" s="22"/>
      <c r="O60" s="1"/>
      <c r="P60" s="1"/>
      <c r="Q60" s="1"/>
      <c r="R60" s="1"/>
      <c r="S60" s="1"/>
      <c r="T60" s="1"/>
      <c r="U60" s="1"/>
      <c r="W60" s="2"/>
    </row>
    <row r="61" spans="1:28">
      <c r="A61" s="14" t="s">
        <v>117</v>
      </c>
      <c r="B61" s="10" t="s">
        <v>51</v>
      </c>
      <c r="C61" s="359" t="s">
        <v>121</v>
      </c>
      <c r="D61" s="360"/>
      <c r="E61" s="360"/>
      <c r="F61" s="360"/>
      <c r="G61" s="361"/>
      <c r="H61" s="355" t="s">
        <v>53</v>
      </c>
      <c r="I61" s="355"/>
      <c r="J61" s="25">
        <v>200</v>
      </c>
      <c r="K61" s="10">
        <v>4</v>
      </c>
      <c r="L61" s="1"/>
      <c r="M61" s="1"/>
      <c r="N61" s="1"/>
      <c r="O61" s="1"/>
      <c r="P61" s="1"/>
      <c r="Q61" s="1"/>
      <c r="R61" s="1"/>
      <c r="S61" s="1"/>
      <c r="T61" s="1"/>
      <c r="U61" s="1"/>
      <c r="W61" s="2"/>
    </row>
    <row r="62" spans="1:28">
      <c r="A62" s="14" t="s">
        <v>122</v>
      </c>
      <c r="B62" s="10" t="s">
        <v>51</v>
      </c>
      <c r="C62" s="359" t="s">
        <v>123</v>
      </c>
      <c r="D62" s="360"/>
      <c r="E62" s="360"/>
      <c r="F62" s="360"/>
      <c r="G62" s="361"/>
      <c r="H62" s="355" t="s">
        <v>53</v>
      </c>
      <c r="I62" s="355"/>
      <c r="J62" s="25">
        <v>200</v>
      </c>
      <c r="K62" s="10">
        <v>4</v>
      </c>
      <c r="L62" s="1"/>
      <c r="M62" s="1"/>
      <c r="N62" s="1"/>
      <c r="O62" s="335" t="s">
        <v>124</v>
      </c>
      <c r="P62" s="335"/>
      <c r="Q62" s="335"/>
      <c r="R62" s="335"/>
      <c r="S62" s="9" t="s">
        <v>125</v>
      </c>
      <c r="T62" s="9"/>
      <c r="U62" s="341" t="s">
        <v>126</v>
      </c>
      <c r="V62" s="341"/>
      <c r="W62" s="341"/>
      <c r="X62" s="341"/>
      <c r="Y62" s="341"/>
      <c r="Z62" s="341"/>
      <c r="AA62" s="31" t="s">
        <v>127</v>
      </c>
    </row>
    <row r="63" spans="1:28">
      <c r="A63" s="14"/>
      <c r="B63" s="10"/>
      <c r="C63" s="354"/>
      <c r="D63" s="354"/>
      <c r="E63" s="354"/>
      <c r="F63" s="354"/>
      <c r="G63" s="354"/>
      <c r="H63" s="355"/>
      <c r="I63" s="355"/>
      <c r="J63" s="25"/>
      <c r="K63" s="10"/>
      <c r="L63" s="1"/>
      <c r="M63" s="1"/>
      <c r="N63" s="1"/>
      <c r="O63" s="37">
        <v>1</v>
      </c>
      <c r="P63" s="37"/>
      <c r="Q63" s="37"/>
      <c r="R63" s="37"/>
      <c r="S63" s="37" t="s">
        <v>58</v>
      </c>
      <c r="T63" s="37" t="s">
        <v>128</v>
      </c>
      <c r="U63" s="400" t="s">
        <v>129</v>
      </c>
      <c r="V63" s="401"/>
      <c r="W63" s="401"/>
      <c r="X63" s="401"/>
      <c r="Y63" s="401"/>
      <c r="Z63" s="402"/>
      <c r="AA63" s="39"/>
      <c r="AB63" s="2"/>
    </row>
    <row r="64" spans="1:28">
      <c r="A64" s="14"/>
      <c r="B64" s="10"/>
      <c r="C64" s="354"/>
      <c r="D64" s="354"/>
      <c r="E64" s="354"/>
      <c r="F64" s="354"/>
      <c r="G64" s="354"/>
      <c r="H64" s="355"/>
      <c r="I64" s="355"/>
      <c r="J64" s="25"/>
      <c r="K64" s="10"/>
      <c r="L64" s="1"/>
      <c r="M64" s="1"/>
      <c r="N64" s="1"/>
      <c r="O64" s="10"/>
      <c r="P64" s="10">
        <v>2</v>
      </c>
      <c r="Q64" s="10"/>
      <c r="R64" s="10"/>
      <c r="S64" s="10" t="s">
        <v>68</v>
      </c>
      <c r="T64" s="10" t="s">
        <v>128</v>
      </c>
      <c r="U64" s="403" t="s">
        <v>130</v>
      </c>
      <c r="V64" s="404"/>
      <c r="W64" s="404"/>
      <c r="X64" s="404"/>
      <c r="Y64" s="404"/>
      <c r="Z64" s="405"/>
      <c r="AA64" s="14">
        <v>1</v>
      </c>
      <c r="AB64" s="2"/>
    </row>
    <row r="65" spans="1:28">
      <c r="A65" s="14" t="s">
        <v>131</v>
      </c>
      <c r="B65" s="10" t="s">
        <v>69</v>
      </c>
      <c r="C65" s="354" t="s">
        <v>132</v>
      </c>
      <c r="D65" s="354"/>
      <c r="E65" s="354"/>
      <c r="F65" s="354"/>
      <c r="G65" s="354"/>
      <c r="H65" s="355" t="s">
        <v>80</v>
      </c>
      <c r="I65" s="355"/>
      <c r="J65" s="25">
        <v>12</v>
      </c>
      <c r="K65" s="10">
        <v>2</v>
      </c>
      <c r="L65" s="1"/>
      <c r="M65" s="1"/>
      <c r="N65" s="1"/>
      <c r="O65" s="10"/>
      <c r="P65" s="10"/>
      <c r="Q65" s="10">
        <v>3</v>
      </c>
      <c r="R65" s="10"/>
      <c r="S65" s="10" t="s">
        <v>107</v>
      </c>
      <c r="T65" s="10" t="s">
        <v>128</v>
      </c>
      <c r="U65" s="394" t="s">
        <v>133</v>
      </c>
      <c r="V65" s="395"/>
      <c r="W65" s="395"/>
      <c r="X65" s="395"/>
      <c r="Y65" s="395"/>
      <c r="Z65" s="396"/>
      <c r="AA65" s="14">
        <v>1</v>
      </c>
      <c r="AB65" s="2"/>
    </row>
    <row r="66" spans="1:28">
      <c r="A66" s="14" t="s">
        <v>134</v>
      </c>
      <c r="B66" s="10" t="s">
        <v>69</v>
      </c>
      <c r="C66" s="354" t="s">
        <v>135</v>
      </c>
      <c r="D66" s="354"/>
      <c r="E66" s="354"/>
      <c r="F66" s="354"/>
      <c r="G66" s="354"/>
      <c r="H66" s="355" t="s">
        <v>80</v>
      </c>
      <c r="I66" s="355"/>
      <c r="J66" s="25">
        <v>12</v>
      </c>
      <c r="K66" s="10">
        <v>2</v>
      </c>
      <c r="L66" s="1"/>
      <c r="M66" s="1"/>
      <c r="N66" s="1"/>
      <c r="O66" s="10"/>
      <c r="P66" s="10"/>
      <c r="Q66" s="10"/>
      <c r="R66" s="10">
        <v>4</v>
      </c>
      <c r="S66" s="10" t="s">
        <v>38</v>
      </c>
      <c r="T66" s="10" t="s">
        <v>128</v>
      </c>
      <c r="U66" s="406" t="s">
        <v>136</v>
      </c>
      <c r="V66" s="407"/>
      <c r="W66" s="407"/>
      <c r="X66" s="407"/>
      <c r="Y66" s="407"/>
      <c r="Z66" s="408"/>
      <c r="AA66" s="40">
        <v>0.17</v>
      </c>
      <c r="AB66" s="2"/>
    </row>
    <row r="67" spans="1:28">
      <c r="C67" s="370"/>
      <c r="D67" s="370"/>
      <c r="E67" s="370"/>
      <c r="F67" s="370"/>
      <c r="G67" s="370"/>
      <c r="H67" s="371"/>
      <c r="I67" s="371"/>
      <c r="J67" s="11"/>
      <c r="K67" s="1"/>
      <c r="L67" s="1"/>
      <c r="M67" s="1"/>
      <c r="N67" s="1"/>
      <c r="O67" s="10"/>
      <c r="P67" s="10"/>
      <c r="Q67" s="10">
        <v>3</v>
      </c>
      <c r="R67" s="10"/>
      <c r="S67" s="10" t="s">
        <v>119</v>
      </c>
      <c r="T67" s="10" t="s">
        <v>128</v>
      </c>
      <c r="U67" s="394" t="s">
        <v>137</v>
      </c>
      <c r="V67" s="395"/>
      <c r="W67" s="395"/>
      <c r="X67" s="395"/>
      <c r="Y67" s="395"/>
      <c r="Z67" s="396"/>
      <c r="AA67" s="14">
        <v>3</v>
      </c>
      <c r="AB67" s="2"/>
    </row>
    <row r="68" spans="1:28"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0"/>
      <c r="P68" s="10"/>
      <c r="Q68" s="10"/>
      <c r="R68" s="10">
        <v>4</v>
      </c>
      <c r="S68" s="10" t="s">
        <v>42</v>
      </c>
      <c r="T68" s="10" t="s">
        <v>128</v>
      </c>
      <c r="U68" s="406" t="s">
        <v>138</v>
      </c>
      <c r="V68" s="407"/>
      <c r="W68" s="407"/>
      <c r="X68" s="407"/>
      <c r="Y68" s="407"/>
      <c r="Z68" s="408"/>
      <c r="AA68" s="40">
        <v>0.05</v>
      </c>
      <c r="AB68" s="2"/>
    </row>
    <row r="69" spans="1:28"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0"/>
      <c r="P69" s="10"/>
      <c r="Q69" s="10">
        <v>3</v>
      </c>
      <c r="R69" s="10"/>
      <c r="S69" s="10" t="s">
        <v>122</v>
      </c>
      <c r="T69" s="10" t="s">
        <v>128</v>
      </c>
      <c r="U69" s="394" t="s">
        <v>139</v>
      </c>
      <c r="V69" s="395"/>
      <c r="W69" s="395"/>
      <c r="X69" s="395"/>
      <c r="Y69" s="395"/>
      <c r="Z69" s="396"/>
      <c r="AA69" s="14">
        <v>2</v>
      </c>
      <c r="AB69" s="2"/>
    </row>
    <row r="70" spans="1:28">
      <c r="D70" s="1"/>
      <c r="E70" s="1"/>
      <c r="F70" s="1"/>
      <c r="G70" s="1"/>
      <c r="H70" s="1"/>
      <c r="I70" s="1"/>
      <c r="J70" s="1"/>
      <c r="O70" s="10"/>
      <c r="P70" s="10"/>
      <c r="Q70" s="10"/>
      <c r="R70" s="10">
        <v>4</v>
      </c>
      <c r="S70" s="10" t="s">
        <v>46</v>
      </c>
      <c r="T70" s="10" t="s">
        <v>128</v>
      </c>
      <c r="U70" s="406" t="s">
        <v>140</v>
      </c>
      <c r="V70" s="407"/>
      <c r="W70" s="407"/>
      <c r="X70" s="407"/>
      <c r="Y70" s="407"/>
      <c r="Z70" s="408"/>
      <c r="AA70" s="40">
        <v>0.22</v>
      </c>
      <c r="AB70" s="2"/>
    </row>
    <row r="71" spans="1:28">
      <c r="D71" s="1"/>
      <c r="E71" s="1"/>
      <c r="F71" s="1"/>
      <c r="G71" s="1"/>
      <c r="H71" s="1"/>
      <c r="I71" s="1"/>
      <c r="J71" s="1"/>
      <c r="O71" s="10"/>
      <c r="P71" s="10"/>
      <c r="Q71" s="10">
        <v>3</v>
      </c>
      <c r="R71" s="10"/>
      <c r="S71" s="10" t="s">
        <v>131</v>
      </c>
      <c r="T71" s="10" t="s">
        <v>128</v>
      </c>
      <c r="U71" s="394" t="s">
        <v>141</v>
      </c>
      <c r="V71" s="395"/>
      <c r="W71" s="395"/>
      <c r="X71" s="395"/>
      <c r="Y71" s="395"/>
      <c r="Z71" s="396"/>
      <c r="AA71" s="14">
        <v>1</v>
      </c>
      <c r="AB71" s="2"/>
    </row>
    <row r="72" spans="1:28">
      <c r="D72" s="1"/>
      <c r="E72" s="1"/>
      <c r="F72" s="1"/>
      <c r="G72" s="1"/>
      <c r="H72" s="1"/>
      <c r="I72" s="1"/>
      <c r="J72" s="1"/>
      <c r="O72" s="10"/>
      <c r="P72" s="10">
        <v>2</v>
      </c>
      <c r="Q72" s="10"/>
      <c r="R72" s="10"/>
      <c r="S72" s="10" t="s">
        <v>88</v>
      </c>
      <c r="T72" s="10" t="s">
        <v>128</v>
      </c>
      <c r="U72" s="403" t="s">
        <v>142</v>
      </c>
      <c r="V72" s="404"/>
      <c r="W72" s="404"/>
      <c r="X72" s="404"/>
      <c r="Y72" s="404"/>
      <c r="Z72" s="405"/>
      <c r="AA72" s="14">
        <v>1</v>
      </c>
      <c r="AB72" s="2"/>
    </row>
    <row r="73" spans="1:28">
      <c r="D73" s="1"/>
      <c r="E73" s="1"/>
      <c r="F73" s="1"/>
      <c r="G73" s="1"/>
      <c r="H73" s="1"/>
      <c r="I73" s="1"/>
      <c r="J73" s="1"/>
      <c r="O73" s="10"/>
      <c r="P73" s="10">
        <v>2</v>
      </c>
      <c r="Q73" s="10"/>
      <c r="R73" s="10"/>
      <c r="S73" s="10" t="s">
        <v>50</v>
      </c>
      <c r="T73" s="10" t="s">
        <v>128</v>
      </c>
      <c r="U73" s="403" t="s">
        <v>143</v>
      </c>
      <c r="V73" s="404"/>
      <c r="W73" s="404"/>
      <c r="X73" s="404"/>
      <c r="Y73" s="404"/>
      <c r="Z73" s="405"/>
      <c r="AA73" s="14">
        <v>2</v>
      </c>
      <c r="AB73" s="2"/>
    </row>
    <row r="74" spans="1:28">
      <c r="D74" s="1"/>
      <c r="E74" s="1"/>
      <c r="F74" s="1"/>
      <c r="G74" s="1"/>
      <c r="H74" s="1"/>
      <c r="I74" s="1"/>
      <c r="J74" s="1"/>
      <c r="O74" s="10"/>
      <c r="P74" s="10">
        <v>2</v>
      </c>
      <c r="Q74" s="10"/>
      <c r="R74" s="10"/>
      <c r="S74" s="10" t="s">
        <v>54</v>
      </c>
      <c r="T74" s="10" t="s">
        <v>128</v>
      </c>
      <c r="U74" s="403" t="s">
        <v>144</v>
      </c>
      <c r="V74" s="404"/>
      <c r="W74" s="404"/>
      <c r="X74" s="404"/>
      <c r="Y74" s="404"/>
      <c r="Z74" s="405"/>
      <c r="AA74" s="14">
        <v>3</v>
      </c>
      <c r="AB74" s="2"/>
    </row>
    <row r="75" spans="1:28">
      <c r="D75" s="1"/>
      <c r="E75" s="1"/>
      <c r="F75" s="1"/>
      <c r="G75" s="1"/>
      <c r="H75" s="1"/>
      <c r="I75" s="1"/>
      <c r="J75" s="1"/>
      <c r="O75" s="10"/>
      <c r="P75" s="10">
        <v>2</v>
      </c>
      <c r="Q75" s="10"/>
      <c r="R75" s="10"/>
      <c r="S75" s="10" t="s">
        <v>78</v>
      </c>
      <c r="T75" s="10" t="s">
        <v>128</v>
      </c>
      <c r="U75" s="403" t="s">
        <v>145</v>
      </c>
      <c r="V75" s="404"/>
      <c r="W75" s="404"/>
      <c r="X75" s="404"/>
      <c r="Y75" s="404"/>
      <c r="Z75" s="405"/>
      <c r="AA75" s="14">
        <v>1</v>
      </c>
      <c r="AB75" s="2"/>
    </row>
    <row r="76" spans="1:28">
      <c r="D76" s="1"/>
      <c r="E76" s="1"/>
      <c r="F76" s="1"/>
      <c r="G76" s="1"/>
      <c r="H76" s="1"/>
      <c r="I76" s="1"/>
      <c r="J76" s="1"/>
      <c r="O76" s="37">
        <v>1</v>
      </c>
      <c r="P76" s="37"/>
      <c r="Q76" s="37"/>
      <c r="R76" s="37"/>
      <c r="S76" s="37" t="s">
        <v>62</v>
      </c>
      <c r="T76" s="37" t="s">
        <v>128</v>
      </c>
      <c r="U76" s="400" t="s">
        <v>146</v>
      </c>
      <c r="V76" s="401"/>
      <c r="W76" s="401"/>
      <c r="X76" s="401"/>
      <c r="Y76" s="401"/>
      <c r="Z76" s="402"/>
      <c r="AA76" s="39"/>
      <c r="AB76" s="2"/>
    </row>
    <row r="77" spans="1:28">
      <c r="D77" s="1"/>
      <c r="E77" s="1"/>
      <c r="F77" s="1"/>
      <c r="G77" s="1"/>
      <c r="H77" s="1"/>
      <c r="I77" s="1"/>
      <c r="J77" s="1"/>
      <c r="O77" s="10"/>
      <c r="P77" s="10">
        <v>2</v>
      </c>
      <c r="Q77" s="10"/>
      <c r="R77" s="10"/>
      <c r="S77" s="10" t="s">
        <v>74</v>
      </c>
      <c r="T77" s="10" t="s">
        <v>128</v>
      </c>
      <c r="U77" s="403" t="s">
        <v>147</v>
      </c>
      <c r="V77" s="404"/>
      <c r="W77" s="404"/>
      <c r="X77" s="404"/>
      <c r="Y77" s="404"/>
      <c r="Z77" s="405"/>
      <c r="AA77" s="14">
        <v>1</v>
      </c>
      <c r="AB77" s="2"/>
    </row>
    <row r="78" spans="1:28">
      <c r="D78" s="1"/>
      <c r="E78" s="1"/>
      <c r="F78" s="1"/>
      <c r="G78" s="1"/>
      <c r="H78" s="1"/>
      <c r="I78" s="1"/>
      <c r="J78" s="1"/>
      <c r="O78" s="10"/>
      <c r="P78" s="10"/>
      <c r="Q78" s="10">
        <v>3</v>
      </c>
      <c r="R78" s="10"/>
      <c r="S78" s="10" t="s">
        <v>114</v>
      </c>
      <c r="T78" s="10" t="s">
        <v>128</v>
      </c>
      <c r="U78" s="394" t="s">
        <v>148</v>
      </c>
      <c r="V78" s="395"/>
      <c r="W78" s="395"/>
      <c r="X78" s="395"/>
      <c r="Y78" s="395"/>
      <c r="Z78" s="396"/>
      <c r="AA78" s="14">
        <v>1</v>
      </c>
      <c r="AB78" s="2"/>
    </row>
    <row r="79" spans="1:28">
      <c r="D79" s="1"/>
      <c r="E79" s="1"/>
      <c r="F79" s="1"/>
      <c r="G79" s="1"/>
      <c r="H79" s="1"/>
      <c r="I79" s="1"/>
      <c r="J79" s="1"/>
      <c r="O79" s="10"/>
      <c r="P79" s="10"/>
      <c r="Q79" s="10"/>
      <c r="R79" s="10">
        <v>4</v>
      </c>
      <c r="S79" s="10" t="s">
        <v>38</v>
      </c>
      <c r="T79" s="10" t="s">
        <v>128</v>
      </c>
      <c r="U79" s="406" t="s">
        <v>136</v>
      </c>
      <c r="V79" s="407"/>
      <c r="W79" s="407"/>
      <c r="X79" s="407"/>
      <c r="Y79" s="407"/>
      <c r="Z79" s="408"/>
      <c r="AA79" s="40">
        <v>0.2</v>
      </c>
      <c r="AB79" s="2"/>
    </row>
    <row r="80" spans="1:28">
      <c r="D80" s="1"/>
      <c r="E80" s="1"/>
      <c r="F80" s="1"/>
      <c r="G80" s="1"/>
      <c r="H80" s="1"/>
      <c r="I80" s="1"/>
      <c r="J80" s="1"/>
      <c r="O80" s="10"/>
      <c r="P80" s="10"/>
      <c r="Q80" s="10">
        <v>3</v>
      </c>
      <c r="R80" s="10"/>
      <c r="S80" s="10" t="s">
        <v>119</v>
      </c>
      <c r="T80" s="10" t="s">
        <v>128</v>
      </c>
      <c r="U80" s="394" t="s">
        <v>137</v>
      </c>
      <c r="V80" s="395"/>
      <c r="W80" s="395"/>
      <c r="X80" s="395"/>
      <c r="Y80" s="395"/>
      <c r="Z80" s="396"/>
      <c r="AA80" s="14">
        <v>5</v>
      </c>
      <c r="AB80" s="2"/>
    </row>
    <row r="81" spans="4:28">
      <c r="D81" s="1"/>
      <c r="E81" s="1"/>
      <c r="F81" s="1"/>
      <c r="G81" s="1"/>
      <c r="H81" s="1"/>
      <c r="I81" s="1"/>
      <c r="J81" s="1"/>
      <c r="O81" s="10"/>
      <c r="P81" s="10"/>
      <c r="Q81" s="10"/>
      <c r="R81" s="10">
        <v>4</v>
      </c>
      <c r="S81" s="10" t="s">
        <v>42</v>
      </c>
      <c r="T81" s="10" t="s">
        <v>128</v>
      </c>
      <c r="U81" s="406" t="s">
        <v>149</v>
      </c>
      <c r="V81" s="407"/>
      <c r="W81" s="407"/>
      <c r="X81" s="407"/>
      <c r="Y81" s="407"/>
      <c r="Z81" s="408"/>
      <c r="AA81" s="40">
        <v>0.05</v>
      </c>
      <c r="AB81" s="2"/>
    </row>
    <row r="82" spans="4:28">
      <c r="D82" s="1"/>
      <c r="E82" s="1"/>
      <c r="F82" s="1"/>
      <c r="G82" s="1"/>
      <c r="H82" s="1"/>
      <c r="I82" s="1"/>
      <c r="J82" s="1"/>
      <c r="O82" s="10"/>
      <c r="P82" s="10"/>
      <c r="Q82" s="10">
        <v>3</v>
      </c>
      <c r="R82" s="10"/>
      <c r="S82" s="10" t="s">
        <v>122</v>
      </c>
      <c r="T82" s="10" t="s">
        <v>128</v>
      </c>
      <c r="U82" s="394" t="s">
        <v>139</v>
      </c>
      <c r="V82" s="395"/>
      <c r="W82" s="395"/>
      <c r="X82" s="395"/>
      <c r="Y82" s="395"/>
      <c r="Z82" s="396"/>
      <c r="AA82" s="14">
        <v>2</v>
      </c>
      <c r="AB82" s="2"/>
    </row>
    <row r="83" spans="4:28">
      <c r="D83" s="1"/>
      <c r="E83" s="1"/>
      <c r="F83" s="1"/>
      <c r="G83" s="1"/>
      <c r="H83" s="1"/>
      <c r="I83" s="1"/>
      <c r="J83" s="1"/>
      <c r="O83" s="10"/>
      <c r="P83" s="10"/>
      <c r="Q83" s="10"/>
      <c r="R83" s="10">
        <v>4</v>
      </c>
      <c r="S83" s="10" t="s">
        <v>46</v>
      </c>
      <c r="T83" s="10" t="s">
        <v>128</v>
      </c>
      <c r="U83" s="406" t="s">
        <v>140</v>
      </c>
      <c r="V83" s="407"/>
      <c r="W83" s="407"/>
      <c r="X83" s="407"/>
      <c r="Y83" s="407"/>
      <c r="Z83" s="408"/>
      <c r="AA83" s="40">
        <v>0.22</v>
      </c>
      <c r="AB83" s="2"/>
    </row>
    <row r="84" spans="4:28">
      <c r="D84" s="1"/>
      <c r="E84" s="1"/>
      <c r="F84" s="1"/>
      <c r="G84" s="1"/>
      <c r="H84" s="1"/>
      <c r="I84" s="1"/>
      <c r="J84" s="1"/>
      <c r="O84" s="10"/>
      <c r="P84" s="10"/>
      <c r="Q84" s="10">
        <v>3</v>
      </c>
      <c r="R84" s="10"/>
      <c r="S84" s="10" t="s">
        <v>134</v>
      </c>
      <c r="T84" s="10" t="s">
        <v>128</v>
      </c>
      <c r="U84" s="394" t="s">
        <v>150</v>
      </c>
      <c r="V84" s="395"/>
      <c r="W84" s="395"/>
      <c r="X84" s="395"/>
      <c r="Y84" s="395"/>
      <c r="Z84" s="396"/>
      <c r="AA84" s="14">
        <v>1</v>
      </c>
      <c r="AB84" s="2"/>
    </row>
    <row r="85" spans="4:28">
      <c r="D85" s="1"/>
      <c r="E85" s="1"/>
      <c r="F85" s="1"/>
      <c r="G85" s="1"/>
      <c r="H85" s="1"/>
      <c r="I85" s="1"/>
      <c r="J85" s="1"/>
      <c r="O85" s="10"/>
      <c r="P85" s="10">
        <v>2</v>
      </c>
      <c r="Q85" s="10"/>
      <c r="R85" s="10"/>
      <c r="S85" s="10" t="s">
        <v>94</v>
      </c>
      <c r="T85" s="10" t="s">
        <v>128</v>
      </c>
      <c r="U85" s="403" t="s">
        <v>151</v>
      </c>
      <c r="V85" s="404"/>
      <c r="W85" s="404"/>
      <c r="X85" s="404"/>
      <c r="Y85" s="404"/>
      <c r="Z85" s="405"/>
      <c r="AA85" s="14">
        <v>1</v>
      </c>
      <c r="AB85" s="2"/>
    </row>
    <row r="86" spans="4:28">
      <c r="D86" s="1"/>
      <c r="E86" s="1"/>
      <c r="F86" s="1"/>
      <c r="G86" s="1"/>
      <c r="H86" s="1"/>
      <c r="I86" s="1"/>
      <c r="J86" s="1"/>
      <c r="O86" s="10"/>
      <c r="P86" s="10">
        <v>2</v>
      </c>
      <c r="Q86" s="10"/>
      <c r="R86" s="10"/>
      <c r="S86" s="10" t="s">
        <v>50</v>
      </c>
      <c r="T86" s="10" t="s">
        <v>128</v>
      </c>
      <c r="U86" s="403" t="s">
        <v>143</v>
      </c>
      <c r="V86" s="404"/>
      <c r="W86" s="404"/>
      <c r="X86" s="404"/>
      <c r="Y86" s="404"/>
      <c r="Z86" s="405"/>
      <c r="AA86" s="14">
        <v>2</v>
      </c>
      <c r="AB86" s="2"/>
    </row>
    <row r="87" spans="4:28">
      <c r="D87" s="1"/>
      <c r="E87" s="1"/>
      <c r="F87" s="1"/>
      <c r="G87" s="1"/>
      <c r="H87" s="1"/>
      <c r="I87" s="1"/>
      <c r="J87" s="1"/>
      <c r="O87" s="10"/>
      <c r="P87" s="10">
        <v>2</v>
      </c>
      <c r="Q87" s="10"/>
      <c r="R87" s="10"/>
      <c r="S87" s="10" t="s">
        <v>54</v>
      </c>
      <c r="T87" s="10" t="s">
        <v>128</v>
      </c>
      <c r="U87" s="403" t="s">
        <v>144</v>
      </c>
      <c r="V87" s="404"/>
      <c r="W87" s="404"/>
      <c r="X87" s="404"/>
      <c r="Y87" s="404"/>
      <c r="Z87" s="405"/>
      <c r="AA87" s="14">
        <v>3</v>
      </c>
      <c r="AB87" s="2"/>
    </row>
    <row r="88" spans="4:28">
      <c r="D88" s="1"/>
      <c r="E88" s="1"/>
      <c r="F88" s="1"/>
      <c r="G88" s="1"/>
      <c r="H88" s="1"/>
      <c r="I88" s="1"/>
      <c r="J88" s="1"/>
      <c r="O88" s="10"/>
      <c r="P88" s="10">
        <v>2</v>
      </c>
      <c r="Q88" s="10"/>
      <c r="R88" s="10"/>
      <c r="S88" s="10" t="s">
        <v>84</v>
      </c>
      <c r="T88" s="10" t="s">
        <v>128</v>
      </c>
      <c r="U88" s="403" t="s">
        <v>152</v>
      </c>
      <c r="V88" s="404"/>
      <c r="W88" s="404"/>
      <c r="X88" s="404"/>
      <c r="Y88" s="404"/>
      <c r="Z88" s="405"/>
      <c r="AA88" s="14">
        <v>1</v>
      </c>
      <c r="AB88" s="2"/>
    </row>
    <row r="89" spans="4:28">
      <c r="D89" s="1"/>
      <c r="E89" s="1"/>
      <c r="F89" s="1"/>
      <c r="G89" s="1"/>
      <c r="H89" s="1"/>
      <c r="I89" s="1"/>
      <c r="J89" s="1"/>
    </row>
    <row r="90" spans="4:28">
      <c r="D90" s="1"/>
      <c r="E90" s="1"/>
      <c r="F90" s="1"/>
      <c r="G90" s="1"/>
      <c r="H90" s="1"/>
      <c r="I90" s="1"/>
      <c r="J90" s="1"/>
    </row>
    <row r="111" ht="48" customHeight="1"/>
    <row r="112" ht="14.55" customHeight="1"/>
    <row r="113" ht="14.55" customHeight="1"/>
    <row r="114" ht="14.55" customHeight="1"/>
    <row r="115" ht="14.55" customHeight="1"/>
    <row r="116" ht="14.55" customHeight="1"/>
    <row r="117" ht="14.55" customHeight="1"/>
    <row r="118" ht="14.55" customHeight="1"/>
    <row r="119" ht="14.55" customHeight="1"/>
    <row r="120" ht="14.55" customHeight="1"/>
    <row r="121" ht="14.55" customHeight="1"/>
    <row r="122" ht="14.55" customHeight="1"/>
  </sheetData>
  <mergeCells count="191">
    <mergeCell ref="K6:L6"/>
    <mergeCell ref="K7:L7"/>
    <mergeCell ref="K8:L8"/>
    <mergeCell ref="U85:Z85"/>
    <mergeCell ref="U86:Z86"/>
    <mergeCell ref="U87:Z87"/>
    <mergeCell ref="U88:Z88"/>
    <mergeCell ref="U72:Z72"/>
    <mergeCell ref="U73:Z73"/>
    <mergeCell ref="U74:Z74"/>
    <mergeCell ref="U75:Z75"/>
    <mergeCell ref="U76:Z76"/>
    <mergeCell ref="U77:Z77"/>
    <mergeCell ref="U78:Z78"/>
    <mergeCell ref="U79:Z79"/>
    <mergeCell ref="U80:Z80"/>
    <mergeCell ref="U67:Z67"/>
    <mergeCell ref="U68:Z68"/>
    <mergeCell ref="U69:Z69"/>
    <mergeCell ref="U70:Z70"/>
    <mergeCell ref="U71:Z71"/>
    <mergeCell ref="U81:Z81"/>
    <mergeCell ref="U82:Z82"/>
    <mergeCell ref="U83:Z83"/>
    <mergeCell ref="U84:Z84"/>
    <mergeCell ref="O54:Q54"/>
    <mergeCell ref="O55:Q55"/>
    <mergeCell ref="O56:Q56"/>
    <mergeCell ref="O57:Q57"/>
    <mergeCell ref="O58:Q58"/>
    <mergeCell ref="U63:Z63"/>
    <mergeCell ref="U64:Z64"/>
    <mergeCell ref="U65:Z65"/>
    <mergeCell ref="U66:Z66"/>
    <mergeCell ref="O62:R62"/>
    <mergeCell ref="U62:Z62"/>
    <mergeCell ref="M22:M23"/>
    <mergeCell ref="I9:I10"/>
    <mergeCell ref="I11:I12"/>
    <mergeCell ref="C66:G66"/>
    <mergeCell ref="H66:I66"/>
    <mergeCell ref="M47:N48"/>
    <mergeCell ref="M49:N50"/>
    <mergeCell ref="C48:G48"/>
    <mergeCell ref="H48:I48"/>
    <mergeCell ref="C49:G49"/>
    <mergeCell ref="H49:I49"/>
    <mergeCell ref="C50:G50"/>
    <mergeCell ref="H50:I50"/>
    <mergeCell ref="M16:M17"/>
    <mergeCell ref="M18:M19"/>
    <mergeCell ref="H37:I37"/>
    <mergeCell ref="C44:G44"/>
    <mergeCell ref="H44:I44"/>
    <mergeCell ref="H39:I39"/>
    <mergeCell ref="C40:G40"/>
    <mergeCell ref="H40:I40"/>
    <mergeCell ref="M51:N58"/>
    <mergeCell ref="M28:M29"/>
    <mergeCell ref="C55:G55"/>
    <mergeCell ref="T14:T15"/>
    <mergeCell ref="U14:U15"/>
    <mergeCell ref="M38:O39"/>
    <mergeCell ref="M40:O41"/>
    <mergeCell ref="P31:P33"/>
    <mergeCell ref="Q31:Q33"/>
    <mergeCell ref="P34:P35"/>
    <mergeCell ref="Q34:Q35"/>
    <mergeCell ref="P36:P37"/>
    <mergeCell ref="Q36:Q37"/>
    <mergeCell ref="P38:P39"/>
    <mergeCell ref="Q38:Q39"/>
    <mergeCell ref="P40:P41"/>
    <mergeCell ref="Q40:Q41"/>
    <mergeCell ref="M14:M15"/>
    <mergeCell ref="M26:M27"/>
    <mergeCell ref="U18:U19"/>
    <mergeCell ref="U20:U21"/>
    <mergeCell ref="U28:U29"/>
    <mergeCell ref="T20:T21"/>
    <mergeCell ref="T28:T29"/>
    <mergeCell ref="M20:M21"/>
    <mergeCell ref="N28:R29"/>
    <mergeCell ref="T22:T23"/>
    <mergeCell ref="O6:Q6"/>
    <mergeCell ref="S16:S17"/>
    <mergeCell ref="S18:S19"/>
    <mergeCell ref="S20:S21"/>
    <mergeCell ref="S22:S23"/>
    <mergeCell ref="S24:S25"/>
    <mergeCell ref="S26:S27"/>
    <mergeCell ref="N14:R15"/>
    <mergeCell ref="S14:S15"/>
    <mergeCell ref="N16:R17"/>
    <mergeCell ref="N20:R21"/>
    <mergeCell ref="N22:R23"/>
    <mergeCell ref="N24:R25"/>
    <mergeCell ref="N26:R27"/>
    <mergeCell ref="N18:R19"/>
    <mergeCell ref="U22:U23"/>
    <mergeCell ref="T24:T25"/>
    <mergeCell ref="U24:U25"/>
    <mergeCell ref="T26:T27"/>
    <mergeCell ref="U26:U27"/>
    <mergeCell ref="T16:T17"/>
    <mergeCell ref="U16:U17"/>
    <mergeCell ref="T18:T19"/>
    <mergeCell ref="S28:S29"/>
    <mergeCell ref="M24:M25"/>
    <mergeCell ref="H51:I51"/>
    <mergeCell ref="C52:G52"/>
    <mergeCell ref="H52:I52"/>
    <mergeCell ref="J33:J34"/>
    <mergeCell ref="C36:G36"/>
    <mergeCell ref="H38:I38"/>
    <mergeCell ref="K33:K34"/>
    <mergeCell ref="M31:O33"/>
    <mergeCell ref="E32:I32"/>
    <mergeCell ref="C35:G35"/>
    <mergeCell ref="H35:I35"/>
    <mergeCell ref="C33:G34"/>
    <mergeCell ref="H33:I34"/>
    <mergeCell ref="C3:G3"/>
    <mergeCell ref="C4:G4"/>
    <mergeCell ref="C5:G5"/>
    <mergeCell ref="C45:G45"/>
    <mergeCell ref="H45:I45"/>
    <mergeCell ref="C46:G46"/>
    <mergeCell ref="H46:I46"/>
    <mergeCell ref="C47:G47"/>
    <mergeCell ref="H47:I47"/>
    <mergeCell ref="C7:G8"/>
    <mergeCell ref="H7:H8"/>
    <mergeCell ref="I7:I8"/>
    <mergeCell ref="C9:G10"/>
    <mergeCell ref="C11:G12"/>
    <mergeCell ref="H9:H10"/>
    <mergeCell ref="H11:H12"/>
    <mergeCell ref="C42:G42"/>
    <mergeCell ref="H42:I42"/>
    <mergeCell ref="C43:G43"/>
    <mergeCell ref="H43:I43"/>
    <mergeCell ref="C41:G41"/>
    <mergeCell ref="H36:I36"/>
    <mergeCell ref="C37:G37"/>
    <mergeCell ref="C67:G67"/>
    <mergeCell ref="H67:I67"/>
    <mergeCell ref="B33:B34"/>
    <mergeCell ref="C63:G63"/>
    <mergeCell ref="H63:I63"/>
    <mergeCell ref="C64:G64"/>
    <mergeCell ref="H64:I64"/>
    <mergeCell ref="C65:G65"/>
    <mergeCell ref="H65:I65"/>
    <mergeCell ref="C60:G60"/>
    <mergeCell ref="H60:I60"/>
    <mergeCell ref="C61:G61"/>
    <mergeCell ref="H61:I61"/>
    <mergeCell ref="C62:G62"/>
    <mergeCell ref="H62:I62"/>
    <mergeCell ref="C57:G57"/>
    <mergeCell ref="H57:I57"/>
    <mergeCell ref="C58:G58"/>
    <mergeCell ref="H58:I58"/>
    <mergeCell ref="C59:G59"/>
    <mergeCell ref="H59:I59"/>
    <mergeCell ref="C56:G56"/>
    <mergeCell ref="H56:I56"/>
    <mergeCell ref="C51:G51"/>
    <mergeCell ref="C54:G54"/>
    <mergeCell ref="H54:I54"/>
    <mergeCell ref="H55:I55"/>
    <mergeCell ref="C53:G53"/>
    <mergeCell ref="H53:I53"/>
    <mergeCell ref="A33:A34"/>
    <mergeCell ref="M46:Q46"/>
    <mergeCell ref="O47:Q47"/>
    <mergeCell ref="O48:Q48"/>
    <mergeCell ref="O49:Q49"/>
    <mergeCell ref="O50:Q50"/>
    <mergeCell ref="O51:Q51"/>
    <mergeCell ref="O52:Q52"/>
    <mergeCell ref="O53:Q53"/>
    <mergeCell ref="H41:I41"/>
    <mergeCell ref="M42:O43"/>
    <mergeCell ref="P42:P43"/>
    <mergeCell ref="Q42:Q43"/>
    <mergeCell ref="C38:G38"/>
    <mergeCell ref="C39:G39"/>
    <mergeCell ref="M34:O35"/>
    <mergeCell ref="M36:O37"/>
  </mergeCells>
  <phoneticPr fontId="1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2"/>
  <sheetViews>
    <sheetView zoomScale="82" zoomScaleNormal="55" workbookViewId="0">
      <pane ySplit="1" topLeftCell="A2" activePane="bottomLeft" state="frozen"/>
      <selection pane="bottomLeft" activeCell="K13" sqref="K13"/>
    </sheetView>
  </sheetViews>
  <sheetFormatPr defaultColWidth="8.796875" defaultRowHeight="14.25"/>
  <cols>
    <col min="1" max="5" width="4.1328125" customWidth="1"/>
    <col min="6" max="6" width="16.1328125" customWidth="1"/>
    <col min="7" max="7" width="15.796875" hidden="1" customWidth="1"/>
    <col min="9" max="9" width="56.6640625" bestFit="1" customWidth="1"/>
    <col min="10" max="10" width="15.1328125" bestFit="1" customWidth="1"/>
    <col min="11" max="12" width="16.1328125" customWidth="1"/>
  </cols>
  <sheetData>
    <row r="1" spans="1:16">
      <c r="F1" s="15" t="s">
        <v>125</v>
      </c>
      <c r="G1" s="15" t="s">
        <v>153</v>
      </c>
      <c r="H1" s="9" t="s">
        <v>154</v>
      </c>
      <c r="I1" s="31" t="s">
        <v>126</v>
      </c>
      <c r="J1" s="55" t="s">
        <v>127</v>
      </c>
      <c r="K1" s="51" t="s">
        <v>155</v>
      </c>
      <c r="L1" s="51" t="s">
        <v>156</v>
      </c>
    </row>
    <row r="2" spans="1:16">
      <c r="A2" s="1"/>
      <c r="B2" s="1"/>
      <c r="C2" s="1"/>
      <c r="D2" s="1"/>
      <c r="E2" s="1"/>
      <c r="F2" s="3"/>
      <c r="H2" s="1"/>
      <c r="I2" s="6"/>
      <c r="J2" s="2"/>
      <c r="K2" s="15" t="s">
        <v>157</v>
      </c>
      <c r="L2" s="15" t="s">
        <v>157</v>
      </c>
    </row>
    <row r="3" spans="1:16">
      <c r="A3" s="49" t="s">
        <v>158</v>
      </c>
      <c r="B3" s="10"/>
      <c r="C3" s="10"/>
      <c r="D3" s="10"/>
      <c r="E3" s="10"/>
      <c r="F3" s="50" t="s">
        <v>125</v>
      </c>
      <c r="G3" s="31" t="s">
        <v>159</v>
      </c>
      <c r="H3" s="9" t="s">
        <v>154</v>
      </c>
      <c r="I3" s="31" t="s">
        <v>126</v>
      </c>
      <c r="J3" s="55" t="s">
        <v>127</v>
      </c>
      <c r="K3" s="51" t="s">
        <v>155</v>
      </c>
      <c r="L3" s="51" t="s">
        <v>156</v>
      </c>
    </row>
    <row r="4" spans="1:16">
      <c r="A4" s="74">
        <v>1</v>
      </c>
      <c r="B4" s="74"/>
      <c r="C4" s="74"/>
      <c r="D4" s="74"/>
      <c r="E4" s="74"/>
      <c r="F4" s="37" t="str">
        <f>'$_DATA'!S63</f>
        <v>INTASS001</v>
      </c>
      <c r="G4" s="38"/>
      <c r="H4" s="37" t="s">
        <v>160</v>
      </c>
      <c r="I4" s="54" t="s">
        <v>161</v>
      </c>
      <c r="J4" s="75"/>
      <c r="K4" s="76">
        <f>'$_DATA'!I9</f>
        <v>9389</v>
      </c>
      <c r="L4" s="76"/>
    </row>
    <row r="5" spans="1:16">
      <c r="A5" s="10"/>
      <c r="B5" s="10"/>
      <c r="C5" s="10"/>
      <c r="D5" s="10"/>
      <c r="E5" s="10"/>
      <c r="F5" s="10" t="s">
        <v>73</v>
      </c>
      <c r="G5" s="10" t="str">
        <f>F4</f>
        <v>INTASS001</v>
      </c>
      <c r="H5" s="10" t="s">
        <v>162</v>
      </c>
      <c r="I5" s="14" t="s">
        <v>163</v>
      </c>
      <c r="J5" s="52"/>
      <c r="K5" s="55"/>
      <c r="L5" s="55">
        <f>K4/'$_DATA'!U16</f>
        <v>9389</v>
      </c>
    </row>
    <row r="6" spans="1:16">
      <c r="A6" s="74"/>
      <c r="B6" s="74">
        <v>2</v>
      </c>
      <c r="C6" s="74"/>
      <c r="D6" s="74"/>
      <c r="E6" s="74"/>
      <c r="F6" s="10" t="str">
        <f>'$_DATA'!S64</f>
        <v>INTSAL001</v>
      </c>
      <c r="G6" s="10" t="str">
        <f>F4</f>
        <v>INTASS001</v>
      </c>
      <c r="H6" s="10" t="s">
        <v>160</v>
      </c>
      <c r="I6" s="52" t="s">
        <v>130</v>
      </c>
      <c r="J6" s="77">
        <v>1</v>
      </c>
      <c r="K6" s="76">
        <f>$K4*J6</f>
        <v>9389</v>
      </c>
      <c r="L6" s="76"/>
      <c r="P6" s="2">
        <f>('$_BOM_CYCLE'!K11+'$_BOM_CYCLE'!K32)</f>
        <v>3285.7971679768443</v>
      </c>
    </row>
    <row r="7" spans="1:16">
      <c r="A7" s="10"/>
      <c r="B7" s="10"/>
      <c r="C7" s="10"/>
      <c r="D7" s="10"/>
      <c r="E7" s="10"/>
      <c r="F7" s="10" t="s">
        <v>83</v>
      </c>
      <c r="G7" s="10" t="str">
        <f>F6</f>
        <v>INTSAL001</v>
      </c>
      <c r="H7" s="10" t="s">
        <v>162</v>
      </c>
      <c r="I7" s="14" t="s">
        <v>164</v>
      </c>
      <c r="J7" s="52"/>
      <c r="K7" s="55"/>
      <c r="L7" s="55">
        <f>K6/'$_DATA'!U20</f>
        <v>9679.3814432989693</v>
      </c>
    </row>
    <row r="8" spans="1:16">
      <c r="A8" s="74"/>
      <c r="B8" s="74"/>
      <c r="C8" s="74">
        <v>3</v>
      </c>
      <c r="D8" s="74"/>
      <c r="E8" s="74"/>
      <c r="F8" s="10" t="str">
        <f>'$_DATA'!S65</f>
        <v>INTPSP001</v>
      </c>
      <c r="G8" s="10" t="str">
        <f>F7</f>
        <v>INTSAL001-10</v>
      </c>
      <c r="H8" s="10" t="s">
        <v>160</v>
      </c>
      <c r="I8" s="53" t="s">
        <v>133</v>
      </c>
      <c r="J8" s="77">
        <v>1</v>
      </c>
      <c r="K8" s="76">
        <f>L7*J8</f>
        <v>9679.3814432989693</v>
      </c>
      <c r="L8" s="76"/>
    </row>
    <row r="9" spans="1:16">
      <c r="A9" s="10"/>
      <c r="B9" s="10"/>
      <c r="C9" s="10"/>
      <c r="D9" s="10"/>
      <c r="E9" s="10"/>
      <c r="F9" s="10" t="s">
        <v>93</v>
      </c>
      <c r="G9" s="10" t="str">
        <f>F8</f>
        <v>INTPSP001</v>
      </c>
      <c r="H9" s="10" t="s">
        <v>162</v>
      </c>
      <c r="I9" s="14" t="s">
        <v>165</v>
      </c>
      <c r="J9" s="52"/>
      <c r="K9" s="55"/>
      <c r="L9" s="55">
        <f>K8/'$_DATA'!U26</f>
        <v>9876.9198401009889</v>
      </c>
    </row>
    <row r="10" spans="1:16">
      <c r="A10" s="10"/>
      <c r="B10" s="10"/>
      <c r="C10" s="10"/>
      <c r="D10" s="10"/>
      <c r="E10" s="10"/>
      <c r="F10" s="10" t="s">
        <v>98</v>
      </c>
      <c r="G10" s="10" t="str">
        <f>F9</f>
        <v>INTPSP001-20</v>
      </c>
      <c r="H10" s="10" t="s">
        <v>162</v>
      </c>
      <c r="I10" s="14" t="s">
        <v>97</v>
      </c>
      <c r="J10" s="52"/>
      <c r="K10" s="55"/>
      <c r="L10" s="55">
        <f>K8/'$_DATA'!U28</f>
        <v>9777.1529730292623</v>
      </c>
    </row>
    <row r="11" spans="1:16">
      <c r="A11" s="74"/>
      <c r="B11" s="74"/>
      <c r="C11" s="74"/>
      <c r="D11" s="74">
        <v>4</v>
      </c>
      <c r="E11" s="74"/>
      <c r="F11" s="10" t="str">
        <f>'$_DATA'!S66</f>
        <v>ESTLAM001</v>
      </c>
      <c r="G11" s="10" t="str">
        <f>F10</f>
        <v>INTPSP001-10</v>
      </c>
      <c r="H11" s="10" t="s">
        <v>160</v>
      </c>
      <c r="I11" s="14" t="s">
        <v>136</v>
      </c>
      <c r="J11" s="78">
        <v>0.17</v>
      </c>
      <c r="K11" s="76">
        <f>L10/(ROUNDDOWN(1/J11,0))</f>
        <v>1955.4305946058525</v>
      </c>
      <c r="L11" s="76"/>
    </row>
    <row r="12" spans="1:16">
      <c r="A12" s="74"/>
      <c r="B12" s="74"/>
      <c r="C12" s="74">
        <v>3</v>
      </c>
      <c r="D12" s="74"/>
      <c r="E12" s="74"/>
      <c r="F12" s="10" t="str">
        <f>'$_DATA'!S67</f>
        <v>INTPSP003</v>
      </c>
      <c r="G12" s="10" t="str">
        <f>F7</f>
        <v>INTSAL001-10</v>
      </c>
      <c r="H12" s="10" t="s">
        <v>160</v>
      </c>
      <c r="I12" s="53" t="s">
        <v>137</v>
      </c>
      <c r="J12" s="77">
        <v>3</v>
      </c>
      <c r="K12" s="76">
        <f>L7*J12</f>
        <v>29038.14432989691</v>
      </c>
      <c r="L12" s="76"/>
    </row>
    <row r="13" spans="1:16">
      <c r="A13" s="10"/>
      <c r="B13" s="10"/>
      <c r="C13" s="10"/>
      <c r="D13" s="10"/>
      <c r="E13" s="10"/>
      <c r="F13" s="10" t="s">
        <v>106</v>
      </c>
      <c r="G13" s="10" t="str">
        <f>F12</f>
        <v>INTPSP003</v>
      </c>
      <c r="H13" s="10" t="s">
        <v>162</v>
      </c>
      <c r="I13" s="14" t="s">
        <v>166</v>
      </c>
      <c r="J13" s="52"/>
      <c r="K13" s="55"/>
      <c r="L13" s="55">
        <f>K12/'$_DATA'!U26</f>
        <v>29630.75952030297</v>
      </c>
    </row>
    <row r="14" spans="1:16">
      <c r="A14" s="10"/>
      <c r="B14" s="10"/>
      <c r="C14" s="10"/>
      <c r="D14" s="10"/>
      <c r="E14" s="10"/>
      <c r="F14" s="10" t="s">
        <v>110</v>
      </c>
      <c r="G14" s="10" t="str">
        <f>F13</f>
        <v>INTPSP003-20</v>
      </c>
      <c r="H14" s="10" t="s">
        <v>162</v>
      </c>
      <c r="I14" s="14" t="s">
        <v>167</v>
      </c>
      <c r="J14" s="52"/>
      <c r="K14" s="55"/>
      <c r="L14" s="55">
        <f>L13/'$_DATA'!U28</f>
        <v>29930.060121518152</v>
      </c>
    </row>
    <row r="15" spans="1:16">
      <c r="A15" s="74"/>
      <c r="B15" s="74"/>
      <c r="C15" s="74"/>
      <c r="D15" s="74">
        <v>4</v>
      </c>
      <c r="E15" s="74"/>
      <c r="F15" s="10" t="str">
        <f>'$_DATA'!S68</f>
        <v>ESTLAM002</v>
      </c>
      <c r="G15" s="10" t="str">
        <f>F14</f>
        <v>INTPSP003-10</v>
      </c>
      <c r="H15" s="10" t="s">
        <v>160</v>
      </c>
      <c r="I15" s="14" t="s">
        <v>149</v>
      </c>
      <c r="J15" s="78">
        <v>0.05</v>
      </c>
      <c r="K15" s="76">
        <f>L14/(ROUNDDOWN(1/J15,0))</f>
        <v>1496.5030060759077</v>
      </c>
      <c r="L15" s="76"/>
    </row>
    <row r="16" spans="1:16">
      <c r="A16" s="74"/>
      <c r="B16" s="74"/>
      <c r="C16" s="74">
        <v>3</v>
      </c>
      <c r="D16" s="74"/>
      <c r="E16" s="74"/>
      <c r="F16" s="10" t="str">
        <f>'$_DATA'!S69</f>
        <v>INTPSP004</v>
      </c>
      <c r="G16" s="10" t="str">
        <f>F7</f>
        <v>INTSAL001-10</v>
      </c>
      <c r="H16" s="10" t="s">
        <v>160</v>
      </c>
      <c r="I16" s="53" t="s">
        <v>139</v>
      </c>
      <c r="J16" s="77">
        <v>2</v>
      </c>
      <c r="K16" s="76">
        <f>$L$7*J16</f>
        <v>19358.762886597939</v>
      </c>
      <c r="L16" s="76"/>
    </row>
    <row r="17" spans="1:12">
      <c r="A17" s="10"/>
      <c r="B17" s="10"/>
      <c r="C17" s="10"/>
      <c r="D17" s="10"/>
      <c r="E17" s="10"/>
      <c r="F17" s="10" t="s">
        <v>113</v>
      </c>
      <c r="G17" s="10" t="str">
        <f>F16</f>
        <v>INTPSP004</v>
      </c>
      <c r="H17" s="10" t="s">
        <v>162</v>
      </c>
      <c r="I17" s="14" t="s">
        <v>168</v>
      </c>
      <c r="J17" s="52"/>
      <c r="K17" s="55"/>
      <c r="L17" s="55">
        <f>K16/'$_DATA'!U26</f>
        <v>19753.839680201978</v>
      </c>
    </row>
    <row r="18" spans="1:12">
      <c r="A18" s="10"/>
      <c r="B18" s="10"/>
      <c r="C18" s="10"/>
      <c r="D18" s="10"/>
      <c r="E18" s="10"/>
      <c r="F18" s="10" t="s">
        <v>117</v>
      </c>
      <c r="G18" s="10" t="str">
        <f>F17</f>
        <v>INTPSP004-20</v>
      </c>
      <c r="H18" s="10" t="s">
        <v>162</v>
      </c>
      <c r="I18" s="14" t="s">
        <v>169</v>
      </c>
      <c r="J18" s="52"/>
      <c r="K18" s="55"/>
      <c r="L18" s="55">
        <f>L17/'$_DATA'!U28</f>
        <v>19953.373414345431</v>
      </c>
    </row>
    <row r="19" spans="1:12">
      <c r="A19" s="74"/>
      <c r="B19" s="74"/>
      <c r="C19" s="74"/>
      <c r="D19" s="74">
        <v>4</v>
      </c>
      <c r="E19" s="74"/>
      <c r="F19" s="10" t="str">
        <f>'$_DATA'!S70</f>
        <v>ESTLAM003</v>
      </c>
      <c r="G19" s="10" t="str">
        <f>F18</f>
        <v>INTPSP004-10</v>
      </c>
      <c r="H19" s="10" t="s">
        <v>160</v>
      </c>
      <c r="I19" s="14" t="s">
        <v>140</v>
      </c>
      <c r="J19" s="78">
        <v>0.22</v>
      </c>
      <c r="K19" s="76">
        <f>L18/(ROUNDDOWN(1/J19,0))</f>
        <v>4988.3433535863578</v>
      </c>
      <c r="L19" s="76"/>
    </row>
    <row r="20" spans="1:12">
      <c r="A20" s="74"/>
      <c r="B20" s="74"/>
      <c r="C20" s="74">
        <v>3</v>
      </c>
      <c r="D20" s="74"/>
      <c r="E20" s="74"/>
      <c r="F20" s="10" t="str">
        <f>'$_DATA'!S71</f>
        <v>ESTSAL001</v>
      </c>
      <c r="G20" s="10" t="str">
        <f>F7</f>
        <v>INTSAL001-10</v>
      </c>
      <c r="H20" s="10" t="s">
        <v>160</v>
      </c>
      <c r="I20" s="53" t="s">
        <v>141</v>
      </c>
      <c r="J20" s="77">
        <v>1</v>
      </c>
      <c r="K20" s="76">
        <f>$L$7*J20</f>
        <v>9679.3814432989693</v>
      </c>
      <c r="L20" s="76"/>
    </row>
    <row r="21" spans="1:12">
      <c r="A21" s="74"/>
      <c r="B21" s="74">
        <v>2</v>
      </c>
      <c r="C21" s="74"/>
      <c r="D21" s="74"/>
      <c r="E21" s="74"/>
      <c r="F21" s="10" t="str">
        <f>'$_DATA'!S72</f>
        <v>ESTALB001</v>
      </c>
      <c r="G21" s="10" t="str">
        <f>F5</f>
        <v>INTASS001-10</v>
      </c>
      <c r="H21" s="10" t="s">
        <v>160</v>
      </c>
      <c r="I21" s="52" t="s">
        <v>142</v>
      </c>
      <c r="J21" s="77">
        <v>1</v>
      </c>
      <c r="K21" s="76">
        <f>$L$7*J21</f>
        <v>9679.3814432989693</v>
      </c>
      <c r="L21" s="76"/>
    </row>
    <row r="22" spans="1:12">
      <c r="A22" s="74"/>
      <c r="B22" s="74">
        <v>2</v>
      </c>
      <c r="C22" s="74"/>
      <c r="D22" s="74"/>
      <c r="E22" s="74"/>
      <c r="F22" s="10" t="str">
        <f>'$_DATA'!S73</f>
        <v>ESTING001</v>
      </c>
      <c r="G22" s="10" t="str">
        <f>F5</f>
        <v>INTASS001-10</v>
      </c>
      <c r="H22" s="10" t="s">
        <v>160</v>
      </c>
      <c r="I22" s="52" t="s">
        <v>143</v>
      </c>
      <c r="J22" s="77">
        <v>2</v>
      </c>
      <c r="K22" s="76">
        <f>$L$7*J22</f>
        <v>19358.762886597939</v>
      </c>
      <c r="L22" s="76"/>
    </row>
    <row r="23" spans="1:12">
      <c r="A23" s="74"/>
      <c r="B23" s="74">
        <v>2</v>
      </c>
      <c r="C23" s="74"/>
      <c r="D23" s="74"/>
      <c r="E23" s="74"/>
      <c r="F23" s="10" t="str">
        <f>'$_DATA'!S74</f>
        <v>ESTING002</v>
      </c>
      <c r="G23" s="10" t="str">
        <f>F5</f>
        <v>INTASS001-10</v>
      </c>
      <c r="H23" s="10" t="s">
        <v>160</v>
      </c>
      <c r="I23" s="52" t="s">
        <v>144</v>
      </c>
      <c r="J23" s="77">
        <v>3</v>
      </c>
      <c r="K23" s="76">
        <f>$L$7*J23</f>
        <v>29038.14432989691</v>
      </c>
      <c r="L23" s="76"/>
    </row>
    <row r="24" spans="1:12">
      <c r="A24" s="74"/>
      <c r="B24" s="74">
        <v>2</v>
      </c>
      <c r="C24" s="74"/>
      <c r="D24" s="74"/>
      <c r="E24" s="74"/>
      <c r="F24" s="10" t="str">
        <f>'$_DATA'!S75</f>
        <v>ESTASS003</v>
      </c>
      <c r="G24" s="10" t="str">
        <f>F5</f>
        <v>INTASS001-10</v>
      </c>
      <c r="H24" s="10" t="s">
        <v>160</v>
      </c>
      <c r="I24" s="52" t="s">
        <v>170</v>
      </c>
      <c r="J24" s="77">
        <v>1</v>
      </c>
      <c r="K24" s="76">
        <f>$L$7*J24</f>
        <v>9679.3814432989693</v>
      </c>
      <c r="L24" s="76"/>
    </row>
    <row r="25" spans="1:12">
      <c r="A25" s="74">
        <v>1</v>
      </c>
      <c r="B25" s="74"/>
      <c r="C25" s="74"/>
      <c r="D25" s="74"/>
      <c r="E25" s="74"/>
      <c r="F25" s="37" t="str">
        <f>'$_DATA'!S76</f>
        <v>INTASS002</v>
      </c>
      <c r="G25" s="38" t="s">
        <v>171</v>
      </c>
      <c r="H25" s="37" t="s">
        <v>160</v>
      </c>
      <c r="I25" s="54" t="s">
        <v>146</v>
      </c>
      <c r="J25" s="75"/>
      <c r="K25" s="76">
        <f>'$_DATA'!I11</f>
        <v>6260</v>
      </c>
      <c r="L25" s="76"/>
    </row>
    <row r="26" spans="1:12">
      <c r="A26" s="10"/>
      <c r="B26" s="10"/>
      <c r="C26" s="10"/>
      <c r="D26" s="10"/>
      <c r="E26" s="10"/>
      <c r="F26" s="10" t="s">
        <v>77</v>
      </c>
      <c r="G26" s="10" t="str">
        <f>F25</f>
        <v>INTASS002</v>
      </c>
      <c r="H26" s="10" t="s">
        <v>162</v>
      </c>
      <c r="I26" s="14" t="s">
        <v>172</v>
      </c>
      <c r="J26" s="52"/>
      <c r="K26" s="55"/>
      <c r="L26" s="55">
        <f>K25/'$_DATA'!U16</f>
        <v>6260</v>
      </c>
    </row>
    <row r="27" spans="1:12">
      <c r="A27" s="74"/>
      <c r="B27" s="74">
        <v>2</v>
      </c>
      <c r="C27" s="74"/>
      <c r="D27" s="74"/>
      <c r="E27" s="74"/>
      <c r="F27" s="10" t="str">
        <f>'$_DATA'!S77</f>
        <v>INTSAL002</v>
      </c>
      <c r="G27" s="10" t="str">
        <f>F25</f>
        <v>INTASS002</v>
      </c>
      <c r="H27" s="10" t="s">
        <v>160</v>
      </c>
      <c r="I27" s="52" t="s">
        <v>173</v>
      </c>
      <c r="J27" s="77">
        <v>1</v>
      </c>
      <c r="K27" s="76">
        <f>$K$25*J27</f>
        <v>6260</v>
      </c>
      <c r="L27" s="76"/>
    </row>
    <row r="28" spans="1:12">
      <c r="A28" s="10"/>
      <c r="B28" s="10"/>
      <c r="C28" s="10"/>
      <c r="D28" s="10"/>
      <c r="E28" s="10"/>
      <c r="F28" s="10" t="s">
        <v>87</v>
      </c>
      <c r="G28" s="10" t="str">
        <f>F27</f>
        <v>INTSAL002</v>
      </c>
      <c r="H28" s="10" t="s">
        <v>162</v>
      </c>
      <c r="I28" s="14" t="s">
        <v>174</v>
      </c>
      <c r="J28" s="52"/>
      <c r="K28" s="55"/>
      <c r="L28" s="55">
        <f>K27/'$_DATA'!U20</f>
        <v>6453.6082474226805</v>
      </c>
    </row>
    <row r="29" spans="1:12">
      <c r="A29" s="74"/>
      <c r="B29" s="74"/>
      <c r="C29" s="74">
        <v>3</v>
      </c>
      <c r="D29" s="74"/>
      <c r="E29" s="74"/>
      <c r="F29" s="10" t="str">
        <f>'$_DATA'!S78</f>
        <v>INTPSP002</v>
      </c>
      <c r="G29" s="10" t="str">
        <f>F28</f>
        <v>INTSAL002-10</v>
      </c>
      <c r="H29" s="10" t="s">
        <v>160</v>
      </c>
      <c r="I29" s="53" t="s">
        <v>148</v>
      </c>
      <c r="J29" s="77">
        <v>1</v>
      </c>
      <c r="K29" s="76">
        <f>$L$28*J29</f>
        <v>6453.6082474226805</v>
      </c>
      <c r="L29" s="76"/>
    </row>
    <row r="30" spans="1:12">
      <c r="A30" s="10"/>
      <c r="B30" s="10"/>
      <c r="C30" s="10"/>
      <c r="D30" s="10"/>
      <c r="E30" s="10"/>
      <c r="F30" s="10" t="s">
        <v>100</v>
      </c>
      <c r="G30" s="10" t="str">
        <f>F29</f>
        <v>INTPSP002</v>
      </c>
      <c r="H30" s="10" t="s">
        <v>162</v>
      </c>
      <c r="I30" s="14" t="s">
        <v>175</v>
      </c>
      <c r="J30" s="14"/>
      <c r="K30" s="102"/>
      <c r="L30" s="102">
        <f>K29/'$_DATA'!U26</f>
        <v>6585.3145381864088</v>
      </c>
    </row>
    <row r="31" spans="1:12">
      <c r="A31" s="10"/>
      <c r="B31" s="10"/>
      <c r="C31" s="10"/>
      <c r="D31" s="10"/>
      <c r="E31" s="10"/>
      <c r="F31" s="10" t="s">
        <v>102</v>
      </c>
      <c r="G31" s="10" t="str">
        <f>F30</f>
        <v>INTPSP002-20</v>
      </c>
      <c r="H31" s="10" t="s">
        <v>162</v>
      </c>
      <c r="I31" s="14" t="s">
        <v>101</v>
      </c>
      <c r="J31" s="52"/>
      <c r="K31" s="55"/>
      <c r="L31" s="55">
        <f>L30/'$_DATA'!U28</f>
        <v>6651.8328668549584</v>
      </c>
    </row>
    <row r="32" spans="1:12">
      <c r="A32" s="74"/>
      <c r="B32" s="74"/>
      <c r="C32" s="74"/>
      <c r="D32" s="74">
        <v>4</v>
      </c>
      <c r="E32" s="74"/>
      <c r="F32" s="10" t="str">
        <f>'$_DATA'!S79</f>
        <v>ESTLAM001</v>
      </c>
      <c r="G32" s="10" t="str">
        <f>F31</f>
        <v>INTPSP002-10</v>
      </c>
      <c r="H32" s="10" t="s">
        <v>160</v>
      </c>
      <c r="I32" s="14" t="s">
        <v>136</v>
      </c>
      <c r="J32" s="78">
        <v>0.2</v>
      </c>
      <c r="K32" s="76">
        <f>L31/(ROUNDDOWN(1/J32,0))</f>
        <v>1330.3665733709918</v>
      </c>
      <c r="L32" s="76"/>
    </row>
    <row r="33" spans="1:13">
      <c r="A33" s="74"/>
      <c r="B33" s="74"/>
      <c r="C33" s="74">
        <v>3</v>
      </c>
      <c r="D33" s="74"/>
      <c r="E33" s="74"/>
      <c r="F33" s="10" t="str">
        <f>'$_DATA'!S80</f>
        <v>INTPSP003</v>
      </c>
      <c r="G33" s="10" t="str">
        <f>F28</f>
        <v>INTSAL002-10</v>
      </c>
      <c r="H33" s="10" t="s">
        <v>160</v>
      </c>
      <c r="I33" s="53" t="s">
        <v>137</v>
      </c>
      <c r="J33" s="77">
        <v>5</v>
      </c>
      <c r="K33" s="76">
        <f>$L$28*J33</f>
        <v>32268.041237113401</v>
      </c>
      <c r="L33" s="76"/>
    </row>
    <row r="34" spans="1:13">
      <c r="A34" s="10"/>
      <c r="B34" s="10"/>
      <c r="C34" s="10"/>
      <c r="D34" s="10"/>
      <c r="E34" s="10"/>
      <c r="F34" s="10" t="s">
        <v>106</v>
      </c>
      <c r="G34" s="10" t="str">
        <f>F33</f>
        <v>INTPSP003</v>
      </c>
      <c r="H34" s="10" t="s">
        <v>162</v>
      </c>
      <c r="I34" s="14" t="s">
        <v>166</v>
      </c>
      <c r="J34" s="14"/>
      <c r="K34" s="102"/>
      <c r="L34" s="102">
        <f>K33/'$_DATA'!U26</f>
        <v>32926.572690932044</v>
      </c>
    </row>
    <row r="35" spans="1:13">
      <c r="A35" s="10"/>
      <c r="B35" s="10"/>
      <c r="C35" s="10"/>
      <c r="D35" s="10"/>
      <c r="E35" s="10"/>
      <c r="F35" s="10" t="s">
        <v>110</v>
      </c>
      <c r="G35" s="10" t="str">
        <f>F34</f>
        <v>INTPSP003-20</v>
      </c>
      <c r="H35" s="10" t="s">
        <v>162</v>
      </c>
      <c r="I35" s="14" t="s">
        <v>167</v>
      </c>
      <c r="J35" s="14"/>
      <c r="K35" s="102"/>
      <c r="L35" s="102">
        <f>L34/'$_DATA'!U28</f>
        <v>33259.164334274792</v>
      </c>
    </row>
    <row r="36" spans="1:13">
      <c r="A36" s="74"/>
      <c r="B36" s="74"/>
      <c r="C36" s="74"/>
      <c r="D36" s="74">
        <v>4</v>
      </c>
      <c r="E36" s="74"/>
      <c r="F36" s="10" t="str">
        <f>'$_DATA'!S81</f>
        <v>ESTLAM002</v>
      </c>
      <c r="G36" s="10" t="str">
        <f>F35</f>
        <v>INTPSP003-10</v>
      </c>
      <c r="H36" s="10" t="s">
        <v>160</v>
      </c>
      <c r="I36" s="14" t="s">
        <v>149</v>
      </c>
      <c r="J36" s="78">
        <v>0.05</v>
      </c>
      <c r="K36" s="76">
        <f>L35/(ROUNDDOWN(1/J36,0))</f>
        <v>1662.9582167137396</v>
      </c>
      <c r="L36" s="76"/>
    </row>
    <row r="37" spans="1:13">
      <c r="A37" s="74"/>
      <c r="B37" s="74"/>
      <c r="C37" s="74">
        <v>3</v>
      </c>
      <c r="D37" s="74"/>
      <c r="E37" s="74"/>
      <c r="F37" s="10" t="str">
        <f>'$_DATA'!S82</f>
        <v>INTPSP004</v>
      </c>
      <c r="G37" s="10" t="str">
        <f>F28</f>
        <v>INTSAL002-10</v>
      </c>
      <c r="H37" s="10" t="s">
        <v>160</v>
      </c>
      <c r="I37" s="53" t="s">
        <v>139</v>
      </c>
      <c r="J37" s="77">
        <v>2</v>
      </c>
      <c r="K37" s="76">
        <f>$L$28*J37</f>
        <v>12907.216494845361</v>
      </c>
      <c r="L37" s="76"/>
    </row>
    <row r="38" spans="1:13">
      <c r="A38" s="10"/>
      <c r="B38" s="10"/>
      <c r="C38" s="10"/>
      <c r="D38" s="10"/>
      <c r="E38" s="10"/>
      <c r="F38" s="10" t="s">
        <v>113</v>
      </c>
      <c r="G38" s="10" t="str">
        <f>F37</f>
        <v>INTPSP004</v>
      </c>
      <c r="H38" s="10" t="s">
        <v>162</v>
      </c>
      <c r="I38" s="14" t="s">
        <v>168</v>
      </c>
      <c r="J38" s="14"/>
      <c r="K38" s="102"/>
      <c r="L38" s="102">
        <f>K37/'$_DATA'!U26</f>
        <v>13170.629076372818</v>
      </c>
    </row>
    <row r="39" spans="1:13">
      <c r="A39" s="10"/>
      <c r="B39" s="10"/>
      <c r="C39" s="10"/>
      <c r="D39" s="10"/>
      <c r="E39" s="10"/>
      <c r="F39" s="10" t="s">
        <v>117</v>
      </c>
      <c r="G39" s="10" t="str">
        <f>F38</f>
        <v>INTPSP004-20</v>
      </c>
      <c r="H39" s="10" t="s">
        <v>162</v>
      </c>
      <c r="I39" s="14" t="s">
        <v>169</v>
      </c>
      <c r="J39" s="14"/>
      <c r="K39" s="102"/>
      <c r="L39" s="102">
        <f>L38/'$_DATA'!U28</f>
        <v>13303.665733709917</v>
      </c>
    </row>
    <row r="40" spans="1:13">
      <c r="A40" s="74"/>
      <c r="B40" s="74"/>
      <c r="C40" s="74"/>
      <c r="D40" s="74">
        <v>4</v>
      </c>
      <c r="E40" s="74"/>
      <c r="F40" s="10" t="str">
        <f>'$_DATA'!S83</f>
        <v>ESTLAM003</v>
      </c>
      <c r="G40" s="10" t="str">
        <f>F39</f>
        <v>INTPSP004-10</v>
      </c>
      <c r="H40" s="10" t="s">
        <v>160</v>
      </c>
      <c r="I40" s="14" t="s">
        <v>140</v>
      </c>
      <c r="J40" s="78">
        <v>0.22</v>
      </c>
      <c r="K40" s="76">
        <f>L39/(ROUNDDOWN(1/J40,0))</f>
        <v>3325.9164334274792</v>
      </c>
      <c r="L40" s="76"/>
    </row>
    <row r="41" spans="1:13">
      <c r="A41" s="74"/>
      <c r="B41" s="74"/>
      <c r="C41" s="74">
        <v>3</v>
      </c>
      <c r="D41" s="74"/>
      <c r="E41" s="74"/>
      <c r="F41" s="10" t="str">
        <f>'$_DATA'!S84</f>
        <v>ESTSAL002</v>
      </c>
      <c r="G41" s="10" t="str">
        <f>F28</f>
        <v>INTSAL002-10</v>
      </c>
      <c r="H41" s="10" t="s">
        <v>160</v>
      </c>
      <c r="I41" s="53" t="s">
        <v>150</v>
      </c>
      <c r="J41" s="77">
        <v>1</v>
      </c>
      <c r="K41" s="76">
        <f>$L$28*J41</f>
        <v>6453.6082474226805</v>
      </c>
      <c r="L41" s="76"/>
    </row>
    <row r="42" spans="1:13">
      <c r="A42" s="74"/>
      <c r="B42" s="74">
        <v>2</v>
      </c>
      <c r="C42" s="74"/>
      <c r="D42" s="74"/>
      <c r="E42" s="74"/>
      <c r="F42" s="10" t="str">
        <f>'$_DATA'!S85</f>
        <v>ESTALB002</v>
      </c>
      <c r="G42" s="10" t="str">
        <f>F26</f>
        <v>INTASS002-10</v>
      </c>
      <c r="H42" s="10" t="s">
        <v>160</v>
      </c>
      <c r="I42" s="52" t="s">
        <v>151</v>
      </c>
      <c r="J42" s="77">
        <v>1</v>
      </c>
      <c r="K42" s="76">
        <f>$L$26*J42</f>
        <v>6260</v>
      </c>
      <c r="L42" s="76"/>
    </row>
    <row r="43" spans="1:13">
      <c r="A43" s="74"/>
      <c r="B43" s="74">
        <v>2</v>
      </c>
      <c r="C43" s="74"/>
      <c r="D43" s="74"/>
      <c r="E43" s="74"/>
      <c r="F43" s="10" t="str">
        <f>'$_DATA'!S86</f>
        <v>ESTING001</v>
      </c>
      <c r="G43" s="10" t="str">
        <f>F26</f>
        <v>INTASS002-10</v>
      </c>
      <c r="H43" s="10" t="s">
        <v>160</v>
      </c>
      <c r="I43" s="52" t="s">
        <v>143</v>
      </c>
      <c r="J43" s="77">
        <v>2</v>
      </c>
      <c r="K43" s="76">
        <f>$L$26*J43</f>
        <v>12520</v>
      </c>
      <c r="L43" s="76"/>
    </row>
    <row r="44" spans="1:13">
      <c r="A44" s="74"/>
      <c r="B44" s="74">
        <v>2</v>
      </c>
      <c r="C44" s="74"/>
      <c r="D44" s="74"/>
      <c r="E44" s="74"/>
      <c r="F44" s="10" t="str">
        <f>'$_DATA'!S87</f>
        <v>ESTING002</v>
      </c>
      <c r="G44" s="10" t="str">
        <f>F26</f>
        <v>INTASS002-10</v>
      </c>
      <c r="H44" s="10" t="s">
        <v>160</v>
      </c>
      <c r="I44" s="52" t="s">
        <v>144</v>
      </c>
      <c r="J44" s="77">
        <v>3</v>
      </c>
      <c r="K44" s="76">
        <f t="shared" ref="K44" si="0">$L$26*J44</f>
        <v>18780</v>
      </c>
      <c r="L44" s="76"/>
    </row>
    <row r="45" spans="1:13">
      <c r="A45" s="74"/>
      <c r="B45" s="74">
        <v>2</v>
      </c>
      <c r="C45" s="74"/>
      <c r="D45" s="74"/>
      <c r="E45" s="74"/>
      <c r="F45" s="10" t="str">
        <f>'$_DATA'!S88</f>
        <v>ESTASS004</v>
      </c>
      <c r="G45" s="10" t="str">
        <f>F26</f>
        <v>INTASS002-10</v>
      </c>
      <c r="H45" s="10" t="s">
        <v>160</v>
      </c>
      <c r="I45" s="52" t="s">
        <v>176</v>
      </c>
      <c r="J45" s="77">
        <v>1</v>
      </c>
      <c r="K45" s="76">
        <f>$L$26*J45</f>
        <v>6260</v>
      </c>
      <c r="L45" s="76"/>
    </row>
    <row r="46" spans="1:13">
      <c r="I46" s="6"/>
      <c r="M46" s="409"/>
    </row>
    <row r="47" spans="1:13">
      <c r="M47" s="409"/>
    </row>
    <row r="48" spans="1:13">
      <c r="M48" s="409"/>
    </row>
    <row r="49" spans="13:13">
      <c r="M49" s="409"/>
    </row>
    <row r="50" spans="13:13">
      <c r="M50" s="409"/>
    </row>
    <row r="51" spans="13:13">
      <c r="M51" s="409"/>
    </row>
    <row r="52" spans="13:13">
      <c r="M52" s="409"/>
    </row>
    <row r="53" spans="13:13">
      <c r="M53" s="409"/>
    </row>
    <row r="54" spans="13:13">
      <c r="M54" s="409"/>
    </row>
    <row r="55" spans="13:13">
      <c r="M55" s="409"/>
    </row>
    <row r="56" spans="13:13">
      <c r="M56" s="409"/>
    </row>
    <row r="57" spans="13:13">
      <c r="M57" s="409"/>
    </row>
    <row r="58" spans="13:13">
      <c r="M58" s="409"/>
    </row>
    <row r="59" spans="13:13">
      <c r="M59" s="409"/>
    </row>
    <row r="60" spans="13:13">
      <c r="M60" s="409"/>
    </row>
    <row r="61" spans="13:13">
      <c r="M61" s="409"/>
    </row>
    <row r="62" spans="13:13">
      <c r="M62" s="409"/>
    </row>
    <row r="63" spans="13:13">
      <c r="M63" s="409"/>
    </row>
    <row r="64" spans="13:13">
      <c r="M64" s="409"/>
    </row>
    <row r="65" spans="13:13">
      <c r="M65" s="409"/>
    </row>
    <row r="66" spans="13:13">
      <c r="M66" s="409"/>
    </row>
    <row r="67" spans="13:13">
      <c r="M67" s="409"/>
    </row>
    <row r="68" spans="13:13">
      <c r="M68" s="409"/>
    </row>
    <row r="69" spans="13:13">
      <c r="M69" s="409"/>
    </row>
    <row r="70" spans="13:13">
      <c r="M70" s="409"/>
    </row>
    <row r="71" spans="13:13">
      <c r="M71" s="409"/>
    </row>
    <row r="72" spans="13:13">
      <c r="M72" s="409"/>
    </row>
  </sheetData>
  <autoFilter ref="A1:L46" xr:uid="{00000000-0009-0000-0000-000001000000}">
    <filterColumn colId="8" showButton="0"/>
  </autoFilter>
  <mergeCells count="1">
    <mergeCell ref="M46:M72"/>
  </mergeCells>
  <phoneticPr fontId="25" type="noConversion"/>
  <pageMargins left="0.7" right="0.7" top="0.75" bottom="0.75" header="0.3" footer="0.3"/>
  <pageSetup orientation="portrait" r:id="rId1"/>
  <ignoredErrors>
    <ignoredError sqref="G5:G7 G12 G16 G27:G28 G33 G37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68"/>
  <sheetViews>
    <sheetView zoomScale="46" zoomScaleNormal="102" workbookViewId="0">
      <pane xSplit="12" ySplit="6" topLeftCell="N32" activePane="bottomRight" state="frozen"/>
      <selection pane="topRight" activeCell="M1" sqref="M1"/>
      <selection pane="bottomLeft" activeCell="A7" sqref="A7"/>
      <selection pane="bottomRight" activeCell="N32" sqref="N32:O33"/>
    </sheetView>
  </sheetViews>
  <sheetFormatPr defaultColWidth="8.796875" defaultRowHeight="14.25"/>
  <cols>
    <col min="1" max="1" width="9.796875" customWidth="1"/>
    <col min="3" max="3" width="12.796875" bestFit="1" customWidth="1"/>
    <col min="4" max="4" width="12.6640625" customWidth="1"/>
    <col min="5" max="5" width="11.1328125" customWidth="1"/>
    <col min="6" max="6" width="11.796875" customWidth="1"/>
    <col min="7" max="7" width="10.6640625" bestFit="1" customWidth="1"/>
    <col min="9" max="10" width="9.1328125" customWidth="1"/>
    <col min="11" max="11" width="9" customWidth="1"/>
    <col min="12" max="12" width="10.1328125" customWidth="1"/>
    <col min="13" max="13" width="14.1328125" customWidth="1"/>
    <col min="14" max="14" width="12.1328125" customWidth="1"/>
    <col min="15" max="15" width="12.796875" customWidth="1"/>
    <col min="16" max="23" width="12.1328125" customWidth="1"/>
    <col min="29" max="29" width="11.33203125" customWidth="1"/>
    <col min="35" max="35" width="12.46484375" customWidth="1"/>
  </cols>
  <sheetData>
    <row r="1" spans="1:27" ht="14.55" customHeight="1">
      <c r="A1" s="440" t="s">
        <v>177</v>
      </c>
      <c r="B1" s="440"/>
      <c r="C1" s="440"/>
      <c r="D1" s="58">
        <f>D2+D3</f>
        <v>15649</v>
      </c>
      <c r="E1" s="25" t="s">
        <v>178</v>
      </c>
      <c r="F1" s="42">
        <f>D1/22</f>
        <v>711.31818181818187</v>
      </c>
      <c r="G1" s="10" t="s">
        <v>179</v>
      </c>
      <c r="H1" s="9">
        <f>'$_DATA'!M8</f>
        <v>330</v>
      </c>
      <c r="I1" s="29" t="s">
        <v>11</v>
      </c>
      <c r="J1" s="10"/>
      <c r="M1" s="334" t="s">
        <v>180</v>
      </c>
      <c r="N1" s="334" t="s">
        <v>181</v>
      </c>
      <c r="O1" s="334" t="s">
        <v>182</v>
      </c>
      <c r="P1" s="334" t="s">
        <v>183</v>
      </c>
      <c r="Q1" s="449" t="s">
        <v>184</v>
      </c>
      <c r="R1" s="334" t="s">
        <v>185</v>
      </c>
      <c r="S1" s="452" t="s">
        <v>186</v>
      </c>
      <c r="T1" s="452" t="s">
        <v>187</v>
      </c>
      <c r="U1" s="334" t="s">
        <v>188</v>
      </c>
      <c r="V1" s="334" t="s">
        <v>189</v>
      </c>
      <c r="W1" s="334" t="s">
        <v>190</v>
      </c>
    </row>
    <row r="2" spans="1:27" ht="14.55" customHeight="1">
      <c r="A2" s="441" t="s">
        <v>191</v>
      </c>
      <c r="B2" s="441"/>
      <c r="C2" s="441"/>
      <c r="D2" s="58">
        <f>'$_BOM_CYCLE'!K4</f>
        <v>9389</v>
      </c>
      <c r="E2" s="346" t="s">
        <v>192</v>
      </c>
      <c r="F2" s="346"/>
      <c r="G2" s="9">
        <f>'$_DATA'!M6</f>
        <v>22</v>
      </c>
      <c r="H2" s="14"/>
      <c r="I2" s="10"/>
      <c r="J2" s="10"/>
      <c r="M2" s="334"/>
      <c r="N2" s="334"/>
      <c r="O2" s="334"/>
      <c r="P2" s="335"/>
      <c r="Q2" s="450"/>
      <c r="R2" s="335"/>
      <c r="S2" s="453"/>
      <c r="T2" s="453"/>
      <c r="U2" s="335"/>
      <c r="V2" s="335"/>
      <c r="W2" s="335"/>
    </row>
    <row r="3" spans="1:27" ht="14.55" customHeight="1">
      <c r="A3" s="441" t="s">
        <v>193</v>
      </c>
      <c r="B3" s="441"/>
      <c r="C3" s="441"/>
      <c r="D3" s="58">
        <f>'$_BOM_CYCLE'!K25</f>
        <v>6260</v>
      </c>
      <c r="E3" s="346" t="s">
        <v>10</v>
      </c>
      <c r="F3" s="346"/>
      <c r="G3" s="9">
        <f>'$_DATA'!M7</f>
        <v>15</v>
      </c>
      <c r="H3" s="14"/>
      <c r="I3" s="10"/>
      <c r="J3" s="10"/>
      <c r="M3" s="334"/>
      <c r="N3" s="334"/>
      <c r="O3" s="334"/>
      <c r="P3" s="335"/>
      <c r="Q3" s="450"/>
      <c r="R3" s="335"/>
      <c r="S3" s="453"/>
      <c r="T3" s="453"/>
      <c r="U3" s="335"/>
      <c r="V3" s="335"/>
      <c r="W3" s="335"/>
    </row>
    <row r="4" spans="1:27" ht="14.55" customHeight="1">
      <c r="A4" s="335" t="s">
        <v>64</v>
      </c>
      <c r="B4" s="335"/>
      <c r="C4" s="343" t="s">
        <v>125</v>
      </c>
      <c r="D4" s="343" t="s">
        <v>126</v>
      </c>
      <c r="E4" s="343"/>
      <c r="F4" s="343"/>
      <c r="G4" s="343"/>
      <c r="H4" s="343"/>
      <c r="I4" s="343"/>
      <c r="J4" s="341" t="s">
        <v>194</v>
      </c>
      <c r="K4" s="341"/>
      <c r="L4" s="335" t="s">
        <v>195</v>
      </c>
      <c r="M4" s="334"/>
      <c r="N4" s="334"/>
      <c r="O4" s="335"/>
      <c r="P4" s="335"/>
      <c r="Q4" s="450"/>
      <c r="R4" s="335"/>
      <c r="S4" s="453"/>
      <c r="T4" s="453"/>
      <c r="U4" s="335"/>
      <c r="V4" s="335"/>
      <c r="W4" s="335"/>
    </row>
    <row r="5" spans="1:27" ht="14.55" customHeight="1">
      <c r="A5" s="335"/>
      <c r="B5" s="335"/>
      <c r="C5" s="343"/>
      <c r="D5" s="343"/>
      <c r="E5" s="343"/>
      <c r="F5" s="343"/>
      <c r="G5" s="343"/>
      <c r="H5" s="343"/>
      <c r="I5" s="343"/>
      <c r="J5" s="31" t="s">
        <v>196</v>
      </c>
      <c r="K5" s="31" t="s">
        <v>197</v>
      </c>
      <c r="L5" s="335"/>
      <c r="M5" s="334"/>
      <c r="N5" s="334"/>
      <c r="O5" s="335"/>
      <c r="P5" s="335"/>
      <c r="Q5" s="451"/>
      <c r="R5" s="335"/>
      <c r="S5" s="454"/>
      <c r="T5" s="454"/>
      <c r="U5" s="335"/>
      <c r="V5" s="335"/>
      <c r="W5" s="335"/>
    </row>
    <row r="6" spans="1:27">
      <c r="A6" s="342"/>
      <c r="B6" s="342"/>
      <c r="C6" s="342"/>
      <c r="D6" s="342"/>
      <c r="E6" s="342"/>
      <c r="F6" s="342"/>
      <c r="G6" s="342"/>
      <c r="H6" s="342"/>
      <c r="I6" s="342"/>
      <c r="J6" s="342"/>
      <c r="K6" s="342"/>
      <c r="L6" s="342"/>
      <c r="P6" t="s">
        <v>198</v>
      </c>
    </row>
    <row r="7" spans="1:27">
      <c r="A7" s="334" t="s">
        <v>20</v>
      </c>
      <c r="B7" s="334"/>
      <c r="C7" s="14" t="str">
        <f>'$_BOM_CYCLE'!F5</f>
        <v>INTASS001-10</v>
      </c>
      <c r="D7" s="344" t="str">
        <f>'$_BOM_CYCLE'!I5</f>
        <v>COMPLETE FLAIL MOWERS ASSEMBLY L=1500</v>
      </c>
      <c r="E7" s="344"/>
      <c r="F7" s="344"/>
      <c r="G7" s="344"/>
      <c r="H7" s="344"/>
      <c r="I7" s="344"/>
      <c r="J7" s="76">
        <f>'$_BOM_CYCLE'!L5</f>
        <v>9389</v>
      </c>
      <c r="K7" s="76"/>
      <c r="L7" s="76">
        <f>J7+K7</f>
        <v>9389</v>
      </c>
      <c r="M7" s="74">
        <f>'$_DATA'!S47</f>
        <v>500</v>
      </c>
      <c r="N7" s="74">
        <f>'$_DATA'!T47</f>
        <v>120</v>
      </c>
      <c r="O7" s="79">
        <f>'$_DATA'!U47</f>
        <v>2</v>
      </c>
      <c r="P7" s="80">
        <f>$G$2*$G$3*60</f>
        <v>19800</v>
      </c>
      <c r="Q7" s="80">
        <f>'$_DATA'!S16*P7</f>
        <v>19206</v>
      </c>
      <c r="R7" s="80">
        <f>(L7/M7)*N7</f>
        <v>2253.3599999999997</v>
      </c>
      <c r="S7" s="80">
        <f>Q7-R7</f>
        <v>16952.64</v>
      </c>
      <c r="T7" s="80">
        <f>S7*'$_DATA'!T16</f>
        <v>16783.113600000001</v>
      </c>
      <c r="U7" s="79">
        <f>T7/L7</f>
        <v>1.7875294067525829</v>
      </c>
      <c r="V7" s="79">
        <f>O7/U7</f>
        <v>1.1188627121012873</v>
      </c>
      <c r="W7" s="447">
        <f>ROUNDUP(V7+V8,0)</f>
        <v>2</v>
      </c>
      <c r="Y7">
        <v>28</v>
      </c>
    </row>
    <row r="8" spans="1:27">
      <c r="A8" s="334"/>
      <c r="B8" s="334"/>
      <c r="C8" s="14" t="str">
        <f>'$_BOM_CYCLE'!F26</f>
        <v>INTASS002-10</v>
      </c>
      <c r="D8" s="344" t="str">
        <f>'$_BOM_CYCLE'!I26</f>
        <v>COMPLETE FLAIL MOWERS ASSEMBLY L=1750</v>
      </c>
      <c r="E8" s="344"/>
      <c r="F8" s="344"/>
      <c r="G8" s="344"/>
      <c r="H8" s="344"/>
      <c r="I8" s="344"/>
      <c r="J8" s="76"/>
      <c r="K8" s="76">
        <f>D3</f>
        <v>6260</v>
      </c>
      <c r="L8" s="76">
        <f>J8+K8</f>
        <v>6260</v>
      </c>
      <c r="M8" s="74">
        <v>215</v>
      </c>
      <c r="N8" s="74">
        <f>'$_DATA'!T48</f>
        <v>120</v>
      </c>
      <c r="O8" s="79">
        <f>'$_DATA'!U48</f>
        <v>2</v>
      </c>
      <c r="P8" s="80">
        <f>$G$2*$G$3*60</f>
        <v>19800</v>
      </c>
      <c r="Q8" s="80">
        <f>'$_DATA'!S16*P8</f>
        <v>19206</v>
      </c>
      <c r="R8" s="80">
        <f>(L8/M8)*N8</f>
        <v>3493.953488372093</v>
      </c>
      <c r="S8" s="80">
        <f>Q8-R8</f>
        <v>15712.046511627907</v>
      </c>
      <c r="T8" s="80">
        <f>S8*'$_DATA'!T16</f>
        <v>15554.926046511628</v>
      </c>
      <c r="U8" s="79">
        <f>T8/L8</f>
        <v>2.4848124674938701</v>
      </c>
      <c r="V8" s="79">
        <f>O8/U8</f>
        <v>0.80488971548712418</v>
      </c>
      <c r="W8" s="448"/>
      <c r="X8" s="4"/>
    </row>
    <row r="9" spans="1:27">
      <c r="A9" s="342"/>
      <c r="B9" s="342"/>
      <c r="C9" s="342"/>
      <c r="D9" s="342"/>
      <c r="E9" s="342"/>
      <c r="F9" s="342"/>
      <c r="G9" s="342"/>
      <c r="H9" s="342"/>
      <c r="I9" s="342"/>
      <c r="J9" s="342"/>
      <c r="K9" s="342"/>
      <c r="L9" s="342"/>
      <c r="M9" s="1"/>
      <c r="N9" s="1"/>
      <c r="O9" s="7"/>
      <c r="P9">
        <f>'$_MANUF_PARTS_BATCH'!J56</f>
        <v>683.56957476542232</v>
      </c>
      <c r="Q9" s="46"/>
      <c r="R9" s="46"/>
      <c r="T9" s="46"/>
      <c r="V9" s="7"/>
    </row>
    <row r="10" spans="1:27" ht="15" customHeight="1">
      <c r="A10" s="334" t="s">
        <v>81</v>
      </c>
      <c r="B10" s="334"/>
      <c r="C10" s="14" t="str">
        <f>'$_BOM_CYCLE'!F7</f>
        <v>INTSAL001-10</v>
      </c>
      <c r="D10" s="344" t="str">
        <f>'$_BOM_CYCLE'!I7</f>
        <v>WELDING FRAME WITH TRACTOR HITCHS L=1500</v>
      </c>
      <c r="E10" s="344"/>
      <c r="F10" s="344"/>
      <c r="G10" s="344"/>
      <c r="H10" s="344"/>
      <c r="I10" s="344"/>
      <c r="J10" s="76">
        <f>'$_BOM_CYCLE'!L7</f>
        <v>9679.3814432989693</v>
      </c>
      <c r="K10" s="76"/>
      <c r="L10" s="76">
        <f>J10+K10</f>
        <v>9679.3814432989693</v>
      </c>
      <c r="M10" s="74">
        <v>500</v>
      </c>
      <c r="N10" s="74">
        <f>'$_DATA'!T49</f>
        <v>60</v>
      </c>
      <c r="O10" s="79">
        <f>'$_DATA'!U49</f>
        <v>8</v>
      </c>
      <c r="P10" s="80">
        <f>$G$2*$G$3*60</f>
        <v>19800</v>
      </c>
      <c r="Q10" s="80">
        <f>'$_DATA'!S20*P10</f>
        <v>19404</v>
      </c>
      <c r="R10" s="80">
        <f>(L10/M10)*N10</f>
        <v>1161.5257731958761</v>
      </c>
      <c r="S10" s="80">
        <f>Q10-R10</f>
        <v>18242.474226804123</v>
      </c>
      <c r="T10" s="80">
        <f>S10*'$_DATA'!T20</f>
        <v>17695.199999999997</v>
      </c>
      <c r="U10" s="79">
        <f>T10/L10</f>
        <v>1.8281333475343484</v>
      </c>
      <c r="V10" s="79">
        <f>O10/U10</f>
        <v>4.3760483942759487</v>
      </c>
      <c r="W10" s="447">
        <f>ROUNDUP(V10+V11,0)</f>
        <v>8</v>
      </c>
      <c r="Y10">
        <v>112</v>
      </c>
    </row>
    <row r="11" spans="1:27" ht="15" customHeight="1">
      <c r="A11" s="334"/>
      <c r="B11" s="334"/>
      <c r="C11" s="14" t="str">
        <f>'$_BOM_CYCLE'!F28</f>
        <v>INTSAL002-10</v>
      </c>
      <c r="D11" s="344" t="str">
        <f>'$_BOM_CYCLE'!I28</f>
        <v>WELDING FRAME. WITH TRACTOR HITCHS L=1750</v>
      </c>
      <c r="E11" s="344"/>
      <c r="F11" s="344"/>
      <c r="G11" s="344"/>
      <c r="H11" s="344"/>
      <c r="I11" s="344"/>
      <c r="J11" s="76"/>
      <c r="K11" s="76">
        <f>'$_BOM_CYCLE'!L28</f>
        <v>6453.6082474226805</v>
      </c>
      <c r="L11" s="76">
        <f>J11+K11</f>
        <v>6453.6082474226805</v>
      </c>
      <c r="M11" s="74">
        <v>215</v>
      </c>
      <c r="N11" s="74">
        <f>'$_DATA'!T50</f>
        <v>60</v>
      </c>
      <c r="O11" s="79">
        <f>'$_DATA'!U50</f>
        <v>8</v>
      </c>
      <c r="P11" s="80">
        <f>$G$2*$G$3*60</f>
        <v>19800</v>
      </c>
      <c r="Q11" s="80">
        <f>'$_DATA'!S20*P11</f>
        <v>19404</v>
      </c>
      <c r="R11" s="80">
        <f>(L11/M11)*N11</f>
        <v>1801.0069527691201</v>
      </c>
      <c r="S11" s="80">
        <f>Q11-R11</f>
        <v>17602.993047230881</v>
      </c>
      <c r="T11" s="80">
        <f>S11*'$_DATA'!T20</f>
        <v>17074.903255813955</v>
      </c>
      <c r="U11" s="79">
        <f>T11/L11</f>
        <v>2.6457917185526414</v>
      </c>
      <c r="V11" s="79">
        <f>O11/U11</f>
        <v>3.0236696047927514</v>
      </c>
      <c r="W11" s="448"/>
    </row>
    <row r="12" spans="1:27">
      <c r="A12" s="324"/>
      <c r="B12" s="324"/>
      <c r="C12" s="324"/>
      <c r="D12" s="324"/>
      <c r="E12" s="324"/>
      <c r="F12" s="324"/>
      <c r="G12" s="324"/>
      <c r="H12" s="324"/>
      <c r="I12" s="324"/>
      <c r="J12" s="324"/>
      <c r="K12" s="324"/>
      <c r="L12" s="324"/>
      <c r="M12" s="324"/>
      <c r="N12" s="324"/>
      <c r="O12" s="324"/>
      <c r="Q12" s="46"/>
      <c r="R12" s="46"/>
      <c r="T12" s="46"/>
      <c r="V12" s="7"/>
    </row>
    <row r="13" spans="1:27" ht="15" customHeight="1">
      <c r="A13" s="443" t="s">
        <v>199</v>
      </c>
      <c r="B13" s="444"/>
      <c r="C13" s="14" t="str">
        <f>'$_BOM_CYCLE'!F9</f>
        <v>INTPSP001-20</v>
      </c>
      <c r="D13" s="406" t="str">
        <f>'$_BOM_CYCLE'!I9</f>
        <v>GUARD BENDING L=1500</v>
      </c>
      <c r="E13" s="407"/>
      <c r="F13" s="407"/>
      <c r="G13" s="407"/>
      <c r="H13" s="407"/>
      <c r="I13" s="408"/>
      <c r="J13" s="76">
        <f>'$_BOM_CYCLE'!L9</f>
        <v>9876.9198401009889</v>
      </c>
      <c r="K13" s="76"/>
      <c r="L13" s="76">
        <f>J13+K13</f>
        <v>9876.9198401009889</v>
      </c>
      <c r="M13" s="74">
        <v>500</v>
      </c>
      <c r="N13" s="74">
        <f>'$_DATA'!T51</f>
        <v>30</v>
      </c>
      <c r="O13" s="79">
        <f>'$_DATA'!U51</f>
        <v>1</v>
      </c>
      <c r="P13" s="80">
        <f t="shared" ref="P13:P20" si="0">$G$2*$G$3*60</f>
        <v>19800</v>
      </c>
      <c r="Q13" s="80">
        <f>'$_DATA'!$S$26*P13</f>
        <v>19404</v>
      </c>
      <c r="R13" s="80">
        <f>(L13/M13)*N13</f>
        <v>592.61519040605936</v>
      </c>
      <c r="S13" s="80">
        <f>Q13-R13</f>
        <v>18811.384809593939</v>
      </c>
      <c r="T13" s="80">
        <f>S13*'$_DATA'!$T$26</f>
        <v>18623.270961498001</v>
      </c>
      <c r="U13" s="79">
        <f>T13/L13</f>
        <v>1.8855342822451806</v>
      </c>
      <c r="V13" s="79">
        <f>O13/U13</f>
        <v>0.53035365594586814</v>
      </c>
      <c r="W13" s="447">
        <f>ROUNDUP(SUM(V13:V16),0)</f>
        <v>3</v>
      </c>
      <c r="X13" s="81"/>
      <c r="Y13" s="82">
        <v>42</v>
      </c>
      <c r="Z13" s="82"/>
      <c r="AA13" s="83"/>
    </row>
    <row r="14" spans="1:27" ht="15" customHeight="1">
      <c r="A14" s="443"/>
      <c r="B14" s="444"/>
      <c r="C14" s="14" t="str">
        <f>'$_BOM_CYCLE'!F10</f>
        <v>INTPSP001-10</v>
      </c>
      <c r="D14" s="344" t="str">
        <f>'$_BOM_CYCLE'!I13</f>
        <v>REINFORCEMENT BRACKETS BENDING</v>
      </c>
      <c r="E14" s="344"/>
      <c r="F14" s="344"/>
      <c r="G14" s="344"/>
      <c r="H14" s="344"/>
      <c r="I14" s="344"/>
      <c r="J14" s="76">
        <f>'$_BOM_CYCLE'!L13</f>
        <v>29630.75952030297</v>
      </c>
      <c r="K14" s="76">
        <f>'$_BOM_CYCLE'!L34</f>
        <v>32926.572690932044</v>
      </c>
      <c r="L14" s="76">
        <f>J14+K14</f>
        <v>62557.332211235014</v>
      </c>
      <c r="M14" s="74">
        <v>3000</v>
      </c>
      <c r="N14" s="74">
        <f>'$_DATA'!T55</f>
        <v>30</v>
      </c>
      <c r="O14" s="79">
        <f>'$_DATA'!U55</f>
        <v>0.3</v>
      </c>
      <c r="P14" s="80">
        <f t="shared" si="0"/>
        <v>19800</v>
      </c>
      <c r="Q14" s="80">
        <f>'$_DATA'!$S$26*P14</f>
        <v>19404</v>
      </c>
      <c r="R14" s="80">
        <f>(L14/M14)*N14</f>
        <v>625.57332211235018</v>
      </c>
      <c r="S14" s="80">
        <f>Q14-R14</f>
        <v>18778.426677887648</v>
      </c>
      <c r="T14" s="80">
        <f>S14*'$_DATA'!$T$26</f>
        <v>18590.642411108773</v>
      </c>
      <c r="U14" s="79">
        <f>T14/L14</f>
        <v>0.29717767292784231</v>
      </c>
      <c r="V14" s="79">
        <f>O14/U14</f>
        <v>1.0094971033468014</v>
      </c>
      <c r="W14" s="448"/>
      <c r="X14" s="84"/>
      <c r="Y14" s="85"/>
      <c r="Z14" s="85"/>
      <c r="AA14" s="86"/>
    </row>
    <row r="15" spans="1:27" ht="15" customHeight="1">
      <c r="A15" s="443"/>
      <c r="B15" s="444"/>
      <c r="C15" s="14" t="str">
        <f>'$_BOM_CYCLE'!F30</f>
        <v>INTPSP002-20</v>
      </c>
      <c r="D15" s="344" t="str">
        <f>'$_BOM_CYCLE'!I30</f>
        <v>GUARD BENDING L=1750</v>
      </c>
      <c r="E15" s="344"/>
      <c r="F15" s="344"/>
      <c r="G15" s="344"/>
      <c r="H15" s="344"/>
      <c r="I15" s="344"/>
      <c r="J15" s="76"/>
      <c r="K15" s="76">
        <f>'$_BOM_CYCLE'!L30</f>
        <v>6585.3145381864088</v>
      </c>
      <c r="L15" s="76">
        <f t="shared" ref="L15:L20" si="1">J15+K15</f>
        <v>6585.3145381864088</v>
      </c>
      <c r="M15" s="74">
        <v>215</v>
      </c>
      <c r="N15" s="74">
        <f>'$_DATA'!T53</f>
        <v>30</v>
      </c>
      <c r="O15" s="79">
        <f>'$_DATA'!U53</f>
        <v>1.2</v>
      </c>
      <c r="P15" s="80">
        <f t="shared" si="0"/>
        <v>19800</v>
      </c>
      <c r="Q15" s="80">
        <f>'$_DATA'!$S$26*P15</f>
        <v>19404</v>
      </c>
      <c r="R15" s="80">
        <f t="shared" ref="R15:R20" si="2">(L15/M15)*N15</f>
        <v>918.88109835159196</v>
      </c>
      <c r="S15" s="80">
        <f t="shared" ref="S15:S18" si="3">Q15-R15</f>
        <v>18485.11890164841</v>
      </c>
      <c r="T15" s="80">
        <f>S15*'$_DATA'!$T$26</f>
        <v>18300.267712631925</v>
      </c>
      <c r="U15" s="79">
        <f t="shared" ref="U15:U18" si="4">T15/L15</f>
        <v>2.7789511961066946</v>
      </c>
      <c r="V15" s="79">
        <f t="shared" ref="V15:V20" si="5">O15/U15</f>
        <v>0.43181758703830342</v>
      </c>
      <c r="W15" s="448"/>
      <c r="X15" s="84"/>
      <c r="Y15" s="85"/>
      <c r="Z15" s="85"/>
      <c r="AA15" s="86"/>
    </row>
    <row r="16" spans="1:27" ht="15" customHeight="1">
      <c r="A16" s="443"/>
      <c r="B16" s="444"/>
      <c r="C16" s="14" t="str">
        <f>'$_BOM_CYCLE'!F31</f>
        <v>INTPSP002-10</v>
      </c>
      <c r="D16" s="344" t="str">
        <f>'$_BOM_CYCLE'!I17</f>
        <v>TRACTOR HITCH BRACKETS BENDING</v>
      </c>
      <c r="E16" s="344"/>
      <c r="F16" s="344"/>
      <c r="G16" s="344"/>
      <c r="H16" s="344"/>
      <c r="I16" s="344"/>
      <c r="J16" s="76">
        <f>'$_BOM_CYCLE'!L17</f>
        <v>19753.839680201978</v>
      </c>
      <c r="K16" s="76">
        <f>'$_BOM_CYCLE'!L38</f>
        <v>13170.629076372818</v>
      </c>
      <c r="L16" s="76">
        <f>J16+K16</f>
        <v>32924.468756574795</v>
      </c>
      <c r="M16" s="74">
        <v>2000</v>
      </c>
      <c r="N16" s="74">
        <f>'$_DATA'!T57</f>
        <v>30</v>
      </c>
      <c r="O16" s="79">
        <f>'$_DATA'!U57</f>
        <v>0.5</v>
      </c>
      <c r="P16" s="80">
        <f t="shared" si="0"/>
        <v>19800</v>
      </c>
      <c r="Q16" s="80">
        <f>'$_DATA'!$S$26*P16</f>
        <v>19404</v>
      </c>
      <c r="R16" s="80">
        <f>(L16/M16)*N16</f>
        <v>493.86703134862194</v>
      </c>
      <c r="S16" s="80">
        <f>Q16-R16</f>
        <v>18910.132968651378</v>
      </c>
      <c r="T16" s="80">
        <f>S16*'$_DATA'!$T$26</f>
        <v>18721.031638964865</v>
      </c>
      <c r="U16" s="79">
        <f>T16/L16</f>
        <v>0.56860542769506039</v>
      </c>
      <c r="V16" s="79">
        <f>O16/U16</f>
        <v>0.87934440236850309</v>
      </c>
      <c r="W16" s="448"/>
      <c r="X16" s="84"/>
      <c r="Y16" s="85"/>
      <c r="Z16" s="85"/>
      <c r="AA16" s="86"/>
    </row>
    <row r="17" spans="1:27" ht="15" customHeight="1">
      <c r="A17" s="443"/>
      <c r="B17" s="444"/>
      <c r="C17" s="14" t="str">
        <f>'$_BOM_CYCLE'!F13</f>
        <v>INTPSP003-20</v>
      </c>
      <c r="D17" s="344" t="str">
        <f>'$_BOM_CYCLE'!I10</f>
        <v>GUARD STAMPING L=1500</v>
      </c>
      <c r="E17" s="344"/>
      <c r="F17" s="344"/>
      <c r="G17" s="344"/>
      <c r="H17" s="344"/>
      <c r="I17" s="344"/>
      <c r="J17" s="76">
        <f>'$_BOM_CYCLE'!L10</f>
        <v>9777.1529730292623</v>
      </c>
      <c r="K17" s="76"/>
      <c r="L17" s="76">
        <f>J17+K17</f>
        <v>9777.1529730292623</v>
      </c>
      <c r="M17" s="74">
        <v>500</v>
      </c>
      <c r="N17" s="74">
        <f>'$_DATA'!T52</f>
        <v>30</v>
      </c>
      <c r="O17" s="79">
        <f>'$_DATA'!U52</f>
        <v>1</v>
      </c>
      <c r="P17" s="80">
        <f t="shared" si="0"/>
        <v>19800</v>
      </c>
      <c r="Q17" s="80">
        <f>'$_DATA'!$S$28*P17</f>
        <v>19404</v>
      </c>
      <c r="R17" s="80">
        <f>(L17/M17)*N17</f>
        <v>586.62917838175565</v>
      </c>
      <c r="S17" s="80">
        <f>Q17-R17</f>
        <v>18817.370821618246</v>
      </c>
      <c r="T17" s="80">
        <f>S17*'$_DATA'!$T$28</f>
        <v>18629.197113402064</v>
      </c>
      <c r="U17" s="79">
        <f>T17/L17</f>
        <v>1.9053805504313559</v>
      </c>
      <c r="V17" s="79">
        <f>O17/U17</f>
        <v>0.52482954115051283</v>
      </c>
      <c r="W17" s="447">
        <f>ROUNDUP(SUM(V17:V20),0)</f>
        <v>3</v>
      </c>
      <c r="X17" s="84"/>
      <c r="Y17" s="85">
        <v>42</v>
      </c>
      <c r="Z17" s="85"/>
      <c r="AA17" s="86"/>
    </row>
    <row r="18" spans="1:27" ht="15" customHeight="1">
      <c r="A18" s="443"/>
      <c r="B18" s="444"/>
      <c r="C18" s="14" t="s">
        <v>102</v>
      </c>
      <c r="D18" s="344" t="str">
        <f>'$_BOM_CYCLE'!I14</f>
        <v>REINFORCEMENT BRACKETS STAMPING</v>
      </c>
      <c r="E18" s="344"/>
      <c r="F18" s="344"/>
      <c r="G18" s="344"/>
      <c r="H18" s="344"/>
      <c r="I18" s="344"/>
      <c r="J18" s="76">
        <f>'$_BOM_CYCLE'!L14</f>
        <v>29930.060121518152</v>
      </c>
      <c r="K18" s="76">
        <f>'$_BOM_CYCLE'!L35</f>
        <v>33259.164334274792</v>
      </c>
      <c r="L18" s="76">
        <f t="shared" si="1"/>
        <v>63189.224455792944</v>
      </c>
      <c r="M18" s="74">
        <v>3000</v>
      </c>
      <c r="N18" s="74">
        <f>'$_DATA'!T56</f>
        <v>30</v>
      </c>
      <c r="O18" s="79">
        <f>'$_DATA'!U56</f>
        <v>0.3</v>
      </c>
      <c r="P18" s="80">
        <f t="shared" si="0"/>
        <v>19800</v>
      </c>
      <c r="Q18" s="80">
        <f>'$_DATA'!$S$28*P18</f>
        <v>19404</v>
      </c>
      <c r="R18" s="80">
        <f t="shared" si="2"/>
        <v>631.89224455792942</v>
      </c>
      <c r="S18" s="80">
        <f t="shared" si="3"/>
        <v>18772.10775544207</v>
      </c>
      <c r="T18" s="80">
        <f>S18*'$_DATA'!$T$28</f>
        <v>18584.386677887647</v>
      </c>
      <c r="U18" s="79">
        <f t="shared" si="4"/>
        <v>0.29410689619856384</v>
      </c>
      <c r="V18" s="79">
        <f t="shared" si="5"/>
        <v>1.0200372853462691</v>
      </c>
      <c r="W18" s="448"/>
      <c r="X18" s="84"/>
      <c r="Y18" s="85"/>
      <c r="Z18" s="85"/>
      <c r="AA18" s="86"/>
    </row>
    <row r="19" spans="1:27" ht="15" customHeight="1">
      <c r="A19" s="443"/>
      <c r="B19" s="444"/>
      <c r="C19" s="14" t="str">
        <f>'$_BOM_CYCLE'!F38</f>
        <v>INTPSP004-20</v>
      </c>
      <c r="D19" s="344" t="str">
        <f>'$_BOM_CYCLE'!I31</f>
        <v>GUARD STAMPING L=1750</v>
      </c>
      <c r="E19" s="344"/>
      <c r="F19" s="344"/>
      <c r="G19" s="344"/>
      <c r="H19" s="344"/>
      <c r="I19" s="344"/>
      <c r="J19" s="76"/>
      <c r="K19" s="76">
        <f>'$_BOM_CYCLE'!L31</f>
        <v>6651.8328668549584</v>
      </c>
      <c r="L19" s="76">
        <f>J19+K19</f>
        <v>6651.8328668549584</v>
      </c>
      <c r="M19" s="74">
        <v>215</v>
      </c>
      <c r="N19" s="74">
        <f>'$_DATA'!T54</f>
        <v>30</v>
      </c>
      <c r="O19" s="79">
        <f>'$_DATA'!U54</f>
        <v>1.2</v>
      </c>
      <c r="P19" s="80">
        <f t="shared" si="0"/>
        <v>19800</v>
      </c>
      <c r="Q19" s="80">
        <f>'$_DATA'!$S$28*P19</f>
        <v>19404</v>
      </c>
      <c r="R19" s="80">
        <f>(L19/M19)*N19</f>
        <v>928.16272560766856</v>
      </c>
      <c r="S19" s="80">
        <f>Q19-R19</f>
        <v>18475.837274392332</v>
      </c>
      <c r="T19" s="80">
        <f>S19*'$_DATA'!$T$28</f>
        <v>18291.078901648409</v>
      </c>
      <c r="U19" s="79">
        <f>T19/L19</f>
        <v>2.7497802887967904</v>
      </c>
      <c r="V19" s="79">
        <f>O19/U19</f>
        <v>0.43639850241456157</v>
      </c>
      <c r="W19" s="448"/>
      <c r="X19" s="84"/>
      <c r="Y19" s="85"/>
      <c r="Z19" s="85"/>
      <c r="AA19" s="86"/>
    </row>
    <row r="20" spans="1:27" ht="15" customHeight="1">
      <c r="A20" s="445"/>
      <c r="B20" s="446"/>
      <c r="C20" s="14" t="str">
        <f>'$_BOM_CYCLE'!F18</f>
        <v>INTPSP004-10</v>
      </c>
      <c r="D20" s="344" t="str">
        <f>'$_BOM_CYCLE'!I18</f>
        <v>TRACTOR HITCHS BRACKETS STAMPING</v>
      </c>
      <c r="E20" s="344"/>
      <c r="F20" s="344"/>
      <c r="G20" s="344"/>
      <c r="H20" s="344"/>
      <c r="I20" s="344"/>
      <c r="J20" s="76">
        <f>'$_BOM_CYCLE'!L18</f>
        <v>19953.373414345431</v>
      </c>
      <c r="K20" s="76">
        <f>'$_BOM_CYCLE'!L39</f>
        <v>13303.665733709917</v>
      </c>
      <c r="L20" s="76">
        <f t="shared" si="1"/>
        <v>33257.039148055352</v>
      </c>
      <c r="M20" s="74">
        <v>2000</v>
      </c>
      <c r="N20" s="74">
        <f>'$_DATA'!T58</f>
        <v>30</v>
      </c>
      <c r="O20" s="79">
        <f>'$_DATA'!U58</f>
        <v>0.5</v>
      </c>
      <c r="P20" s="80">
        <f t="shared" si="0"/>
        <v>19800</v>
      </c>
      <c r="Q20" s="80">
        <f>'$_DATA'!$S$28*P20</f>
        <v>19404</v>
      </c>
      <c r="R20" s="80">
        <f t="shared" si="2"/>
        <v>498.85558722083022</v>
      </c>
      <c r="S20" s="80">
        <f>Q20-R20</f>
        <v>18905.144412779169</v>
      </c>
      <c r="T20" s="80">
        <f>S20*'$_DATA'!$T$28</f>
        <v>18716.092968651377</v>
      </c>
      <c r="U20" s="79">
        <f>T20/L20</f>
        <v>0.56277087341810972</v>
      </c>
      <c r="V20" s="79">
        <f t="shared" si="5"/>
        <v>0.88846104803388748</v>
      </c>
      <c r="W20" s="448"/>
      <c r="X20" s="87"/>
      <c r="Y20" s="88"/>
      <c r="Z20" s="88"/>
      <c r="AA20" s="89"/>
    </row>
    <row r="21" spans="1:27">
      <c r="A21" s="5"/>
      <c r="B21" s="5"/>
      <c r="D21" s="442"/>
      <c r="E21" s="442"/>
      <c r="F21" s="442"/>
      <c r="G21" s="442"/>
      <c r="H21" s="442"/>
      <c r="I21" s="442"/>
      <c r="J21" s="2"/>
      <c r="K21" s="2"/>
      <c r="L21" s="2"/>
      <c r="M21" s="426"/>
      <c r="N21" s="426"/>
      <c r="O21" s="426"/>
    </row>
    <row r="22" spans="1:27" ht="14.55" customHeight="1">
      <c r="A22" s="5"/>
      <c r="B22" s="5"/>
      <c r="D22" s="442"/>
      <c r="E22" s="442"/>
      <c r="F22" s="442"/>
      <c r="G22" s="442"/>
      <c r="H22" s="442"/>
      <c r="I22" s="442"/>
      <c r="J22" s="2"/>
      <c r="K22" s="2"/>
      <c r="L22" s="2"/>
      <c r="M22" s="426"/>
      <c r="N22" s="426"/>
      <c r="O22" s="426"/>
    </row>
    <row r="23" spans="1:27" ht="14.55" customHeight="1">
      <c r="A23" s="467" t="s">
        <v>64</v>
      </c>
      <c r="B23" s="468"/>
      <c r="C23" s="343" t="s">
        <v>125</v>
      </c>
      <c r="D23" s="475" t="s">
        <v>200</v>
      </c>
      <c r="E23" s="476"/>
      <c r="F23" s="476"/>
      <c r="G23" s="476"/>
      <c r="H23" s="476"/>
      <c r="I23" s="477"/>
      <c r="J23" s="341" t="s">
        <v>201</v>
      </c>
      <c r="K23" s="341"/>
      <c r="L23" s="455" t="s">
        <v>202</v>
      </c>
      <c r="M23" s="340" t="s">
        <v>203</v>
      </c>
      <c r="N23" s="456" t="s">
        <v>204</v>
      </c>
      <c r="O23" s="458" t="s">
        <v>205</v>
      </c>
      <c r="P23" s="334" t="s">
        <v>206</v>
      </c>
      <c r="Q23" s="334" t="s">
        <v>207</v>
      </c>
      <c r="R23" s="429" t="s">
        <v>208</v>
      </c>
      <c r="S23" s="429" t="s">
        <v>209</v>
      </c>
      <c r="T23" s="335" t="s">
        <v>210</v>
      </c>
      <c r="U23" s="429" t="s">
        <v>211</v>
      </c>
      <c r="V23" s="429" t="s">
        <v>212</v>
      </c>
      <c r="W23" s="429" t="s">
        <v>213</v>
      </c>
    </row>
    <row r="24" spans="1:27" ht="14.55" customHeight="1">
      <c r="A24" s="469"/>
      <c r="B24" s="470"/>
      <c r="C24" s="343"/>
      <c r="D24" s="478"/>
      <c r="E24" s="479"/>
      <c r="F24" s="479"/>
      <c r="G24" s="479"/>
      <c r="H24" s="479"/>
      <c r="I24" s="480"/>
      <c r="J24" s="31" t="s">
        <v>214</v>
      </c>
      <c r="K24" s="31" t="s">
        <v>215</v>
      </c>
      <c r="L24" s="455"/>
      <c r="M24" s="341"/>
      <c r="N24" s="457"/>
      <c r="O24" s="459"/>
      <c r="P24" s="334"/>
      <c r="Q24" s="334"/>
      <c r="R24" s="430"/>
      <c r="S24" s="430"/>
      <c r="T24" s="335"/>
      <c r="U24" s="430"/>
      <c r="V24" s="430"/>
      <c r="W24" s="430"/>
    </row>
    <row r="25" spans="1:27">
      <c r="B25" s="342"/>
      <c r="C25" s="342"/>
      <c r="D25" s="342"/>
      <c r="E25" s="342"/>
      <c r="F25" s="342"/>
      <c r="G25" s="342"/>
      <c r="H25" s="342"/>
      <c r="I25" s="342"/>
      <c r="J25" s="342"/>
      <c r="K25" s="342"/>
      <c r="L25" s="342"/>
      <c r="M25" s="1"/>
    </row>
    <row r="26" spans="1:27" ht="14.55" customHeight="1">
      <c r="A26" s="471" t="s">
        <v>20</v>
      </c>
      <c r="B26" s="472"/>
      <c r="C26" s="14" t="str">
        <f>C7</f>
        <v>INTASS001-10</v>
      </c>
      <c r="D26" s="481" t="str">
        <f>D7</f>
        <v>COMPLETE FLAIL MOWERS ASSEMBLY L=1500</v>
      </c>
      <c r="E26" s="482"/>
      <c r="F26" s="482"/>
      <c r="G26" s="482"/>
      <c r="H26" s="482"/>
      <c r="I26" s="483"/>
      <c r="J26" s="107">
        <f>J7</f>
        <v>9389</v>
      </c>
      <c r="K26" s="76"/>
      <c r="L26" s="76">
        <f>L7</f>
        <v>9389</v>
      </c>
      <c r="M26" s="104">
        <f>OP_ASSEMBLING!O17/U7</f>
        <v>3.5244175431190548</v>
      </c>
      <c r="N26" s="431">
        <f>W7</f>
        <v>2</v>
      </c>
      <c r="O26" s="431">
        <f>ROUNDUP(SUM(M26:M27),0)</f>
        <v>7</v>
      </c>
      <c r="P26" s="431">
        <f>P7*N26*O26</f>
        <v>277200</v>
      </c>
      <c r="Q26" s="433">
        <f>(S7*M26+S8*M27)/T26</f>
        <v>230070.13451975951</v>
      </c>
      <c r="R26" s="434">
        <f>Q26/P26</f>
        <v>0.8299788402588727</v>
      </c>
      <c r="S26" s="436">
        <f>'$_DATA'!T16</f>
        <v>0.99</v>
      </c>
      <c r="T26" s="436">
        <f>(M26+M27)/(N26*O26)</f>
        <v>0.43284429620739256</v>
      </c>
      <c r="U26" s="436">
        <f>T26*S26</f>
        <v>0.42851585324531866</v>
      </c>
      <c r="V26" s="438">
        <f>'$_DATA'!U16</f>
        <v>1</v>
      </c>
      <c r="W26" s="436">
        <f>R26*U26*V26</f>
        <v>0.35565909090909087</v>
      </c>
    </row>
    <row r="27" spans="1:27" ht="14.55" customHeight="1">
      <c r="A27" s="473"/>
      <c r="B27" s="474"/>
      <c r="C27" s="14" t="str">
        <f>C8</f>
        <v>INTASS002-10</v>
      </c>
      <c r="D27" s="481" t="str">
        <f>D8</f>
        <v>COMPLETE FLAIL MOWERS ASSEMBLY L=1750</v>
      </c>
      <c r="E27" s="482"/>
      <c r="F27" s="482"/>
      <c r="G27" s="482"/>
      <c r="H27" s="482"/>
      <c r="I27" s="483"/>
      <c r="J27" s="101"/>
      <c r="K27" s="76">
        <f>K8</f>
        <v>6260</v>
      </c>
      <c r="L27" s="76">
        <f>L8</f>
        <v>6260</v>
      </c>
      <c r="M27" s="104">
        <f>OP_ASSEMBLING!O17/U8</f>
        <v>2.535402603784441</v>
      </c>
      <c r="N27" s="432"/>
      <c r="O27" s="432"/>
      <c r="P27" s="432"/>
      <c r="Q27" s="433"/>
      <c r="R27" s="435"/>
      <c r="S27" s="437"/>
      <c r="T27" s="437"/>
      <c r="U27" s="437"/>
      <c r="V27" s="439"/>
      <c r="W27" s="437"/>
    </row>
    <row r="28" spans="1:27">
      <c r="B28" s="99"/>
      <c r="C28" s="99"/>
      <c r="D28" s="100"/>
      <c r="E28" s="6"/>
      <c r="F28" s="6"/>
      <c r="G28" s="6"/>
      <c r="H28" s="6"/>
      <c r="I28" s="6"/>
      <c r="J28" s="100"/>
      <c r="K28" s="2"/>
      <c r="L28" s="2"/>
      <c r="U28" s="5"/>
      <c r="V28" s="5"/>
    </row>
    <row r="29" spans="1:27" ht="14.55" customHeight="1">
      <c r="A29" s="467" t="s">
        <v>64</v>
      </c>
      <c r="B29" s="468"/>
      <c r="C29" s="343" t="s">
        <v>125</v>
      </c>
      <c r="D29" s="343" t="s">
        <v>126</v>
      </c>
      <c r="E29" s="343"/>
      <c r="F29" s="343"/>
      <c r="G29" s="343"/>
      <c r="H29" s="343"/>
      <c r="I29" s="343"/>
      <c r="J29" s="341" t="s">
        <v>201</v>
      </c>
      <c r="K29" s="341"/>
      <c r="L29" s="455" t="s">
        <v>202</v>
      </c>
      <c r="M29" s="340" t="s">
        <v>203</v>
      </c>
      <c r="N29" s="334" t="s">
        <v>216</v>
      </c>
      <c r="O29" s="334"/>
      <c r="P29" s="334" t="s">
        <v>206</v>
      </c>
      <c r="Q29" s="334" t="s">
        <v>207</v>
      </c>
      <c r="R29" s="429" t="s">
        <v>208</v>
      </c>
      <c r="S29" s="429" t="s">
        <v>209</v>
      </c>
      <c r="T29" s="335" t="s">
        <v>210</v>
      </c>
      <c r="U29" s="429" t="s">
        <v>211</v>
      </c>
      <c r="V29" s="429" t="s">
        <v>212</v>
      </c>
      <c r="W29" s="429" t="s">
        <v>213</v>
      </c>
    </row>
    <row r="30" spans="1:27" ht="14.55" customHeight="1">
      <c r="A30" s="469"/>
      <c r="B30" s="470"/>
      <c r="C30" s="343"/>
      <c r="D30" s="343"/>
      <c r="E30" s="343"/>
      <c r="F30" s="343"/>
      <c r="G30" s="343"/>
      <c r="H30" s="343"/>
      <c r="I30" s="343"/>
      <c r="J30" s="31" t="s">
        <v>214</v>
      </c>
      <c r="K30" s="31" t="s">
        <v>215</v>
      </c>
      <c r="L30" s="455"/>
      <c r="M30" s="341"/>
      <c r="N30" s="334"/>
      <c r="O30" s="334"/>
      <c r="P30" s="334"/>
      <c r="Q30" s="334"/>
      <c r="R30" s="430"/>
      <c r="S30" s="430"/>
      <c r="T30" s="335"/>
      <c r="U30" s="430"/>
      <c r="V30" s="430"/>
      <c r="W30" s="430"/>
    </row>
    <row r="31" spans="1:27">
      <c r="B31" s="322"/>
      <c r="C31" s="322"/>
      <c r="D31" s="322"/>
      <c r="E31" s="322"/>
      <c r="F31" s="322"/>
      <c r="G31" s="322"/>
      <c r="H31" s="322"/>
      <c r="I31" s="322"/>
      <c r="J31" s="322"/>
      <c r="K31" s="322"/>
      <c r="L31" s="322"/>
      <c r="M31" s="1"/>
    </row>
    <row r="32" spans="1:27" ht="14.55" customHeight="1">
      <c r="A32" s="471" t="s">
        <v>81</v>
      </c>
      <c r="B32" s="472"/>
      <c r="C32" s="14" t="str">
        <f>C10</f>
        <v>INTSAL001-10</v>
      </c>
      <c r="D32" s="481" t="str">
        <f>D10</f>
        <v>WELDING FRAME WITH TRACTOR HITCHS L=1500</v>
      </c>
      <c r="E32" s="482"/>
      <c r="F32" s="482"/>
      <c r="G32" s="482"/>
      <c r="H32" s="482"/>
      <c r="I32" s="483"/>
      <c r="J32" s="76">
        <f>J10</f>
        <v>9679.3814432989693</v>
      </c>
      <c r="K32" s="76"/>
      <c r="L32" s="76">
        <f>L10</f>
        <v>9679.3814432989693</v>
      </c>
      <c r="M32" s="104">
        <f>O10/U10</f>
        <v>4.3760483942759487</v>
      </c>
      <c r="N32" s="460">
        <f>W10</f>
        <v>8</v>
      </c>
      <c r="O32" s="460"/>
      <c r="P32" s="431">
        <f>N32*19800</f>
        <v>158400</v>
      </c>
      <c r="Q32" s="461">
        <f>S10*(M32+M33)/T32</f>
        <v>145939.79381443298</v>
      </c>
      <c r="R32" s="463">
        <f>S10/P10</f>
        <v>0.92133708216182442</v>
      </c>
      <c r="S32" s="465">
        <f>'$_DATA'!T20</f>
        <v>0.97</v>
      </c>
      <c r="T32" s="436">
        <f>(M32+M33)/N32</f>
        <v>0.92496474988358757</v>
      </c>
      <c r="U32" s="463">
        <f>T32*S32</f>
        <v>0.89721580738707996</v>
      </c>
      <c r="V32" s="438">
        <f>'$_DATA'!U20</f>
        <v>0.97</v>
      </c>
      <c r="W32" s="463">
        <f>V32*U32*R32</f>
        <v>0.80183904822605334</v>
      </c>
    </row>
    <row r="33" spans="1:31" ht="15.75">
      <c r="A33" s="473"/>
      <c r="B33" s="474"/>
      <c r="C33" s="14" t="str">
        <f>C11</f>
        <v>INTSAL002-10</v>
      </c>
      <c r="D33" s="481" t="str">
        <f>D11</f>
        <v>WELDING FRAME. WITH TRACTOR HITCHS L=1750</v>
      </c>
      <c r="E33" s="482"/>
      <c r="F33" s="482"/>
      <c r="G33" s="482"/>
      <c r="H33" s="482"/>
      <c r="I33" s="483"/>
      <c r="J33" s="76"/>
      <c r="K33" s="76">
        <f>K11</f>
        <v>6453.6082474226805</v>
      </c>
      <c r="L33" s="76">
        <f>L11</f>
        <v>6453.6082474226805</v>
      </c>
      <c r="M33" s="104">
        <f>O11/U11</f>
        <v>3.0236696047927514</v>
      </c>
      <c r="N33" s="460"/>
      <c r="O33" s="460"/>
      <c r="P33" s="432"/>
      <c r="Q33" s="462"/>
      <c r="R33" s="464"/>
      <c r="S33" s="466"/>
      <c r="T33" s="437"/>
      <c r="U33" s="464"/>
      <c r="V33" s="439"/>
      <c r="W33" s="464"/>
    </row>
    <row r="35" spans="1:31">
      <c r="A35" s="335" t="s">
        <v>217</v>
      </c>
      <c r="B35" s="335"/>
      <c r="C35" s="14" t="str">
        <f>C13</f>
        <v>INTPSP001-20</v>
      </c>
      <c r="D35" s="344" t="str">
        <f>D13</f>
        <v>GUARD BENDING L=1500</v>
      </c>
      <c r="E35" s="344"/>
      <c r="F35" s="344"/>
      <c r="G35" s="344"/>
      <c r="H35" s="344"/>
      <c r="I35" s="344"/>
      <c r="J35" s="76">
        <f>J13</f>
        <v>9876.9198401009889</v>
      </c>
      <c r="K35" s="76"/>
      <c r="L35" s="76">
        <f>L13</f>
        <v>9876.9198401009889</v>
      </c>
      <c r="M35" s="104">
        <f>O13/U13</f>
        <v>0.53035365594586814</v>
      </c>
      <c r="N35" s="486">
        <f>W13</f>
        <v>3</v>
      </c>
      <c r="O35" s="487"/>
      <c r="P35" s="431">
        <f>N35*19800</f>
        <v>59400</v>
      </c>
      <c r="Q35" s="461">
        <f>SUM(M35:M38)*S13/T35</f>
        <v>56434.154428781818</v>
      </c>
      <c r="R35" s="461">
        <f>S13/P13</f>
        <v>0.95006993987848176</v>
      </c>
      <c r="S35" s="465">
        <f>'$_DATA'!T26</f>
        <v>0.99</v>
      </c>
      <c r="T35" s="436">
        <f>SUM(M35:M38)/N35</f>
        <v>0.95033758289982539</v>
      </c>
      <c r="U35" s="463">
        <f>T35*S35</f>
        <v>0.9408342070708271</v>
      </c>
      <c r="V35" s="438">
        <f>'$_DATA'!U26</f>
        <v>0.98</v>
      </c>
      <c r="W35" s="463">
        <f>V35*U35*R35</f>
        <v>0.87598113257645172</v>
      </c>
    </row>
    <row r="36" spans="1:31">
      <c r="A36" s="335"/>
      <c r="B36" s="335"/>
      <c r="C36" s="14" t="str">
        <f>C15</f>
        <v>INTPSP002-20</v>
      </c>
      <c r="D36" s="344" t="str">
        <f>D15</f>
        <v>GUARD BENDING L=1750</v>
      </c>
      <c r="E36" s="344"/>
      <c r="F36" s="344"/>
      <c r="G36" s="344"/>
      <c r="H36" s="344"/>
      <c r="I36" s="344"/>
      <c r="J36" s="76"/>
      <c r="K36" s="76">
        <f>K15</f>
        <v>6585.3145381864088</v>
      </c>
      <c r="L36" s="76">
        <f>L15</f>
        <v>6585.3145381864088</v>
      </c>
      <c r="M36" s="104">
        <f>O15/U15</f>
        <v>0.43181758703830342</v>
      </c>
      <c r="N36" s="488"/>
      <c r="O36" s="489"/>
      <c r="P36" s="492"/>
      <c r="Q36" s="493"/>
      <c r="R36" s="493"/>
      <c r="S36" s="494"/>
      <c r="T36" s="495"/>
      <c r="U36" s="484"/>
      <c r="V36" s="485"/>
      <c r="W36" s="484"/>
    </row>
    <row r="37" spans="1:31">
      <c r="A37" s="335"/>
      <c r="B37" s="335"/>
      <c r="C37" s="98" t="str">
        <f>C17</f>
        <v>INTPSP003-20</v>
      </c>
      <c r="D37" s="344" t="str">
        <f>D14</f>
        <v>REINFORCEMENT BRACKETS BENDING</v>
      </c>
      <c r="E37" s="344"/>
      <c r="F37" s="344"/>
      <c r="G37" s="344"/>
      <c r="H37" s="344"/>
      <c r="I37" s="344"/>
      <c r="J37" s="76">
        <f>J14</f>
        <v>29630.75952030297</v>
      </c>
      <c r="K37" s="76">
        <f>K14</f>
        <v>32926.572690932044</v>
      </c>
      <c r="L37" s="76">
        <f>L14</f>
        <v>62557.332211235014</v>
      </c>
      <c r="M37" s="104">
        <f>O14/U14</f>
        <v>1.0094971033468014</v>
      </c>
      <c r="N37" s="488"/>
      <c r="O37" s="489"/>
      <c r="P37" s="492"/>
      <c r="Q37" s="493"/>
      <c r="R37" s="493"/>
      <c r="S37" s="494"/>
      <c r="T37" s="495"/>
      <c r="U37" s="484"/>
      <c r="V37" s="485"/>
      <c r="W37" s="484"/>
    </row>
    <row r="38" spans="1:31">
      <c r="A38" s="335"/>
      <c r="B38" s="335"/>
      <c r="C38" s="14" t="str">
        <f>C19</f>
        <v>INTPSP004-20</v>
      </c>
      <c r="D38" s="344" t="str">
        <f>D16</f>
        <v>TRACTOR HITCH BRACKETS BENDING</v>
      </c>
      <c r="E38" s="344"/>
      <c r="F38" s="344"/>
      <c r="G38" s="344"/>
      <c r="H38" s="344"/>
      <c r="I38" s="344"/>
      <c r="J38" s="76">
        <f>J16</f>
        <v>19753.839680201978</v>
      </c>
      <c r="K38" s="76">
        <f>K16</f>
        <v>13170.629076372818</v>
      </c>
      <c r="L38" s="76">
        <f>L16</f>
        <v>32924.468756574795</v>
      </c>
      <c r="M38" s="104">
        <f>O16/U16</f>
        <v>0.87934440236850309</v>
      </c>
      <c r="N38" s="490"/>
      <c r="O38" s="491"/>
      <c r="P38" s="432"/>
      <c r="Q38" s="462"/>
      <c r="R38" s="462"/>
      <c r="S38" s="466"/>
      <c r="T38" s="437"/>
      <c r="U38" s="464"/>
      <c r="V38" s="439"/>
      <c r="W38" s="464"/>
    </row>
    <row r="40" spans="1:31">
      <c r="A40" s="335" t="s">
        <v>218</v>
      </c>
      <c r="B40" s="335"/>
      <c r="C40" s="14" t="str">
        <f>C14</f>
        <v>INTPSP001-10</v>
      </c>
      <c r="D40" s="344" t="str">
        <f>D17</f>
        <v>GUARD STAMPING L=1500</v>
      </c>
      <c r="E40" s="344"/>
      <c r="F40" s="344"/>
      <c r="G40" s="344"/>
      <c r="H40" s="344"/>
      <c r="I40" s="344"/>
      <c r="J40" s="76">
        <f>J17</f>
        <v>9777.1529730292623</v>
      </c>
      <c r="K40" s="76"/>
      <c r="L40" s="76">
        <f>L17</f>
        <v>9777.1529730292623</v>
      </c>
      <c r="M40" s="104">
        <f>O17/U17</f>
        <v>0.52482954115051283</v>
      </c>
      <c r="N40" s="486">
        <f>W17</f>
        <v>3</v>
      </c>
      <c r="O40" s="487"/>
      <c r="P40" s="431">
        <f>N40*19800</f>
        <v>59400</v>
      </c>
      <c r="Q40" s="461">
        <f>SUM(M40:M43)*S17/T40</f>
        <v>56452.112464854741</v>
      </c>
      <c r="R40" s="461">
        <f>S17/P17</f>
        <v>0.95037226371809325</v>
      </c>
      <c r="S40" s="465">
        <f>'$_DATA'!T28</f>
        <v>0.99</v>
      </c>
      <c r="T40" s="436">
        <f>SUM(M40:M43)/N40</f>
        <v>0.95657545898174368</v>
      </c>
      <c r="U40" s="463">
        <f>T40*S40</f>
        <v>0.94700970439192622</v>
      </c>
      <c r="V40" s="438">
        <f>'$_DATA'!U28</f>
        <v>0.99</v>
      </c>
      <c r="W40" s="463">
        <f>V40*U40*R40</f>
        <v>0.89101163896069757</v>
      </c>
    </row>
    <row r="41" spans="1:31">
      <c r="A41" s="335"/>
      <c r="B41" s="335"/>
      <c r="C41" s="14" t="str">
        <f>C16</f>
        <v>INTPSP002-10</v>
      </c>
      <c r="D41" s="344" t="str">
        <f>D19</f>
        <v>GUARD STAMPING L=1750</v>
      </c>
      <c r="E41" s="344"/>
      <c r="F41" s="344"/>
      <c r="G41" s="344"/>
      <c r="H41" s="344"/>
      <c r="I41" s="344"/>
      <c r="J41" s="76"/>
      <c r="K41" s="76">
        <f>K19</f>
        <v>6651.8328668549584</v>
      </c>
      <c r="L41" s="76">
        <f>L19</f>
        <v>6651.8328668549584</v>
      </c>
      <c r="M41" s="104">
        <f>O19/U19</f>
        <v>0.43639850241456157</v>
      </c>
      <c r="N41" s="488"/>
      <c r="O41" s="489"/>
      <c r="P41" s="492"/>
      <c r="Q41" s="493"/>
      <c r="R41" s="493"/>
      <c r="S41" s="494"/>
      <c r="T41" s="495"/>
      <c r="U41" s="484"/>
      <c r="V41" s="485"/>
      <c r="W41" s="484"/>
    </row>
    <row r="42" spans="1:31">
      <c r="A42" s="335"/>
      <c r="B42" s="335"/>
      <c r="C42" s="98" t="str">
        <f>C18</f>
        <v>INTPSP002-10</v>
      </c>
      <c r="D42" s="344" t="str">
        <f>D18</f>
        <v>REINFORCEMENT BRACKETS STAMPING</v>
      </c>
      <c r="E42" s="344"/>
      <c r="F42" s="344"/>
      <c r="G42" s="344"/>
      <c r="H42" s="344"/>
      <c r="I42" s="344"/>
      <c r="J42" s="76">
        <f>J18</f>
        <v>29930.060121518152</v>
      </c>
      <c r="K42" s="76">
        <f>K18</f>
        <v>33259.164334274792</v>
      </c>
      <c r="L42" s="76">
        <f>L18</f>
        <v>63189.224455792944</v>
      </c>
      <c r="M42" s="104">
        <f>O18/U18</f>
        <v>1.0200372853462691</v>
      </c>
      <c r="N42" s="488"/>
      <c r="O42" s="489"/>
      <c r="P42" s="492"/>
      <c r="Q42" s="493"/>
      <c r="R42" s="493"/>
      <c r="S42" s="494"/>
      <c r="T42" s="495"/>
      <c r="U42" s="484"/>
      <c r="V42" s="485"/>
      <c r="W42" s="484"/>
    </row>
    <row r="43" spans="1:31">
      <c r="A43" s="335"/>
      <c r="B43" s="335"/>
      <c r="C43" s="98" t="str">
        <f>C20</f>
        <v>INTPSP004-10</v>
      </c>
      <c r="D43" s="344" t="str">
        <f>D20</f>
        <v>TRACTOR HITCHS BRACKETS STAMPING</v>
      </c>
      <c r="E43" s="344"/>
      <c r="F43" s="344"/>
      <c r="G43" s="344"/>
      <c r="H43" s="344"/>
      <c r="I43" s="344"/>
      <c r="J43" s="76">
        <f>J20</f>
        <v>19953.373414345431</v>
      </c>
      <c r="K43" s="76">
        <f>K20</f>
        <v>13303.665733709917</v>
      </c>
      <c r="L43" s="76">
        <f>L20</f>
        <v>33257.039148055352</v>
      </c>
      <c r="M43" s="104">
        <f>O20/U20</f>
        <v>0.88846104803388748</v>
      </c>
      <c r="N43" s="490"/>
      <c r="O43" s="491"/>
      <c r="P43" s="432"/>
      <c r="Q43" s="462"/>
      <c r="R43" s="462"/>
      <c r="S43" s="466"/>
      <c r="T43" s="437"/>
      <c r="U43" s="464"/>
      <c r="V43" s="439"/>
      <c r="W43" s="464"/>
    </row>
    <row r="47" spans="1:31">
      <c r="F47" s="230" t="s">
        <v>219</v>
      </c>
      <c r="G47" s="427" t="s">
        <v>220</v>
      </c>
      <c r="H47" s="427"/>
      <c r="I47" s="427"/>
      <c r="J47" s="428"/>
      <c r="K47" s="231" t="s">
        <v>221</v>
      </c>
      <c r="L47" s="231" t="s">
        <v>222</v>
      </c>
      <c r="M47" s="196"/>
      <c r="N47" s="196"/>
      <c r="O47" s="230" t="s">
        <v>223</v>
      </c>
      <c r="P47" s="230" t="s">
        <v>224</v>
      </c>
      <c r="Q47" s="232"/>
      <c r="R47" s="231" t="s">
        <v>225</v>
      </c>
      <c r="S47" s="231" t="s">
        <v>221</v>
      </c>
      <c r="T47" s="231" t="s">
        <v>222</v>
      </c>
      <c r="V47" s="418" t="s">
        <v>226</v>
      </c>
      <c r="W47" s="419"/>
      <c r="X47" s="420"/>
      <c r="Y47" s="424" t="s">
        <v>220</v>
      </c>
      <c r="Z47" s="424"/>
      <c r="AA47" s="424"/>
      <c r="AB47" s="424"/>
      <c r="AC47" s="230" t="s">
        <v>221</v>
      </c>
      <c r="AD47" s="425" t="s">
        <v>222</v>
      </c>
      <c r="AE47" s="425"/>
    </row>
    <row r="48" spans="1:31">
      <c r="F48" s="233" t="s">
        <v>196</v>
      </c>
      <c r="G48" s="427">
        <f>ROUNDUP(L7/(W7*G2),0)</f>
        <v>214</v>
      </c>
      <c r="H48" s="427"/>
      <c r="I48" s="427"/>
      <c r="J48" s="428"/>
      <c r="K48" s="234">
        <f>G48*O7</f>
        <v>428</v>
      </c>
      <c r="L48" s="234">
        <v>120</v>
      </c>
      <c r="M48" s="196"/>
      <c r="N48" s="196"/>
      <c r="O48" s="233" t="s">
        <v>196</v>
      </c>
      <c r="P48" s="427">
        <f>ROUNDUP(L10/(W10*G2),0)</f>
        <v>55</v>
      </c>
      <c r="Q48" s="427"/>
      <c r="R48" s="428"/>
      <c r="S48" s="234">
        <f>P48*O10</f>
        <v>440</v>
      </c>
      <c r="T48" s="234">
        <v>60</v>
      </c>
      <c r="V48" s="418" t="s">
        <v>165</v>
      </c>
      <c r="W48" s="419"/>
      <c r="X48" s="420"/>
      <c r="Y48" s="412">
        <f>ROUNDUP(L13/(W13*G2),0)</f>
        <v>150</v>
      </c>
      <c r="Z48" s="413"/>
      <c r="AA48" s="413"/>
      <c r="AB48" s="415"/>
      <c r="AC48" s="225">
        <f>O13*Y48</f>
        <v>150</v>
      </c>
      <c r="AD48" s="412">
        <v>30</v>
      </c>
      <c r="AE48" s="415"/>
    </row>
    <row r="49" spans="6:39">
      <c r="F49" s="233" t="s">
        <v>197</v>
      </c>
      <c r="G49" s="427">
        <f>ROUNDUP(L8/(W7*G2),0)</f>
        <v>143</v>
      </c>
      <c r="H49" s="427"/>
      <c r="I49" s="427"/>
      <c r="J49" s="428"/>
      <c r="K49" s="234">
        <f>G49*O8</f>
        <v>286</v>
      </c>
      <c r="L49" s="234">
        <v>120</v>
      </c>
      <c r="M49" s="196"/>
      <c r="N49" s="196"/>
      <c r="O49" s="233" t="s">
        <v>197</v>
      </c>
      <c r="P49" s="427">
        <f>ROUNDUP(L11/(W10*G2),0)</f>
        <v>37</v>
      </c>
      <c r="Q49" s="427"/>
      <c r="R49" s="428"/>
      <c r="S49" s="234">
        <f>P49*O11</f>
        <v>296</v>
      </c>
      <c r="T49" s="234">
        <v>60</v>
      </c>
      <c r="V49" s="412" t="s">
        <v>227</v>
      </c>
      <c r="W49" s="413"/>
      <c r="X49" s="415"/>
      <c r="Y49" s="413">
        <f>ROUNDUP(L14/(W13*G2),0)</f>
        <v>948</v>
      </c>
      <c r="Z49" s="413"/>
      <c r="AA49" s="413"/>
      <c r="AB49" s="415"/>
      <c r="AC49" s="225">
        <f>O14*Y49</f>
        <v>284.39999999999998</v>
      </c>
      <c r="AD49" s="412">
        <v>30</v>
      </c>
      <c r="AE49" s="415"/>
    </row>
    <row r="50" spans="6:39">
      <c r="F50" s="196"/>
      <c r="G50" s="196"/>
      <c r="H50" s="196"/>
      <c r="I50" s="196"/>
      <c r="J50" s="196"/>
      <c r="K50" s="233">
        <f>SUM(K48:K49)</f>
        <v>714</v>
      </c>
      <c r="L50" s="234">
        <v>240</v>
      </c>
      <c r="M50" s="196"/>
      <c r="N50" s="196"/>
      <c r="O50" s="196"/>
      <c r="P50" s="196"/>
      <c r="Q50" s="196"/>
      <c r="R50" s="196"/>
      <c r="S50" s="233">
        <f>SUM(S48:S49)</f>
        <v>736</v>
      </c>
      <c r="T50" s="234">
        <v>120</v>
      </c>
      <c r="V50" s="421" t="s">
        <v>175</v>
      </c>
      <c r="W50" s="422"/>
      <c r="X50" s="423"/>
      <c r="Y50" s="412">
        <f>ROUNDUP(L15/(W13*G2),0)</f>
        <v>100</v>
      </c>
      <c r="Z50" s="413"/>
      <c r="AA50" s="413"/>
      <c r="AB50" s="415"/>
      <c r="AC50" s="225">
        <f>O15*Y50</f>
        <v>120</v>
      </c>
      <c r="AD50" s="412">
        <v>30</v>
      </c>
      <c r="AE50" s="415"/>
    </row>
    <row r="51" spans="6:39">
      <c r="G51" s="412" t="s">
        <v>228</v>
      </c>
      <c r="H51" s="413"/>
      <c r="I51" s="225">
        <f>900*0.99*0.97</f>
        <v>864.27</v>
      </c>
      <c r="P51" s="412" t="s">
        <v>228</v>
      </c>
      <c r="Q51" s="413"/>
      <c r="R51" s="225">
        <f>900*0.98*0.97</f>
        <v>855.54</v>
      </c>
      <c r="V51" s="417" t="s">
        <v>229</v>
      </c>
      <c r="W51" s="417"/>
      <c r="X51" s="417"/>
      <c r="Y51" s="412">
        <f>ROUNDUP(L16/(W13*G2),0)</f>
        <v>499</v>
      </c>
      <c r="Z51" s="413"/>
      <c r="AA51" s="413"/>
      <c r="AB51" s="415"/>
      <c r="AC51" s="242">
        <f>O16*Y51</f>
        <v>249.5</v>
      </c>
      <c r="AD51" s="412">
        <v>30</v>
      </c>
      <c r="AE51" s="415"/>
    </row>
    <row r="52" spans="6:39">
      <c r="P52" t="s">
        <v>230</v>
      </c>
      <c r="Q52">
        <f>T50/(R51-S50)</f>
        <v>1.0038480843232394</v>
      </c>
      <c r="V52" s="243"/>
      <c r="W52" s="243"/>
      <c r="X52" s="243"/>
      <c r="Y52" s="412">
        <f>SUM(Y48:Y51)</f>
        <v>1697</v>
      </c>
      <c r="Z52" s="413"/>
      <c r="AA52" s="413"/>
      <c r="AB52" s="415"/>
      <c r="AC52" s="225">
        <f>SUM(AC48:AC51)</f>
        <v>803.9</v>
      </c>
      <c r="AD52" s="412">
        <f>SUM(AD48:AD51)</f>
        <v>120</v>
      </c>
      <c r="AE52" s="415"/>
      <c r="AG52" s="412" t="s">
        <v>228</v>
      </c>
      <c r="AH52" s="413"/>
      <c r="AI52" s="225">
        <f>900*0.99*0.98</f>
        <v>873.18</v>
      </c>
    </row>
    <row r="53" spans="6:39">
      <c r="G53" t="s">
        <v>230</v>
      </c>
      <c r="H53">
        <f>L50/(I51-K50)</f>
        <v>1.5971251746855661</v>
      </c>
      <c r="AG53" t="s">
        <v>230</v>
      </c>
      <c r="AH53">
        <f>AD52/(AI52-AC52)</f>
        <v>1.7321016166281762</v>
      </c>
    </row>
    <row r="54" spans="6:39">
      <c r="P54" s="414" t="s">
        <v>231</v>
      </c>
      <c r="Q54" s="414"/>
      <c r="S54" s="196" t="s">
        <v>232</v>
      </c>
      <c r="T54" s="196"/>
      <c r="V54" s="418" t="s">
        <v>218</v>
      </c>
      <c r="W54" s="419"/>
      <c r="X54" s="420"/>
      <c r="Y54" s="424" t="s">
        <v>220</v>
      </c>
      <c r="Z54" s="424"/>
      <c r="AA54" s="424"/>
      <c r="AB54" s="424"/>
      <c r="AC54" s="230" t="s">
        <v>221</v>
      </c>
      <c r="AD54" s="425" t="s">
        <v>222</v>
      </c>
      <c r="AE54" s="425"/>
      <c r="AJ54" s="414" t="s">
        <v>231</v>
      </c>
      <c r="AK54" s="414"/>
      <c r="AL54" s="196" t="s">
        <v>232</v>
      </c>
      <c r="AM54" s="196"/>
    </row>
    <row r="55" spans="6:39">
      <c r="G55" s="414" t="s">
        <v>231</v>
      </c>
      <c r="H55" s="414"/>
      <c r="J55" s="196" t="s">
        <v>232</v>
      </c>
      <c r="K55" s="196"/>
      <c r="P55" s="232" t="s">
        <v>196</v>
      </c>
      <c r="Q55">
        <f>Q52*P48</f>
        <v>55.211644637778164</v>
      </c>
      <c r="S55">
        <f>Q55*8</f>
        <v>441.69315710222531</v>
      </c>
      <c r="V55" s="418" t="s">
        <v>233</v>
      </c>
      <c r="W55" s="419"/>
      <c r="X55" s="420"/>
      <c r="Y55" s="412">
        <f>ROUNDUP(L17/(W13*G2),0)</f>
        <v>149</v>
      </c>
      <c r="Z55" s="413"/>
      <c r="AA55" s="413"/>
      <c r="AB55" s="415"/>
      <c r="AC55" s="225">
        <f>O13*Y55</f>
        <v>149</v>
      </c>
      <c r="AD55" s="412">
        <v>30</v>
      </c>
      <c r="AE55" s="415"/>
      <c r="AG55" s="410" t="s">
        <v>165</v>
      </c>
      <c r="AH55" s="410"/>
      <c r="AI55" s="410"/>
      <c r="AJ55">
        <f>AH53*Y48</f>
        <v>259.81524249422642</v>
      </c>
      <c r="AL55">
        <f>AJ55*3</f>
        <v>779.44572748267933</v>
      </c>
    </row>
    <row r="56" spans="6:39">
      <c r="G56" s="232" t="s">
        <v>196</v>
      </c>
      <c r="H56">
        <f>H53*G48</f>
        <v>341.78478738271116</v>
      </c>
      <c r="J56">
        <f>H56*2</f>
        <v>683.56957476542232</v>
      </c>
      <c r="P56" s="232" t="s">
        <v>197</v>
      </c>
      <c r="Q56">
        <f>Q52*P49</f>
        <v>37.142379119959855</v>
      </c>
      <c r="S56">
        <f>Q56*8</f>
        <v>297.13903295967884</v>
      </c>
      <c r="V56" s="418" t="s">
        <v>234</v>
      </c>
      <c r="W56" s="419"/>
      <c r="X56" s="420"/>
      <c r="Y56" s="412">
        <f>ROUNDUP(L19/(W13*G2),0)</f>
        <v>101</v>
      </c>
      <c r="Z56" s="413"/>
      <c r="AA56" s="413"/>
      <c r="AB56" s="415"/>
      <c r="AC56" s="225">
        <f>O19*Y56</f>
        <v>121.19999999999999</v>
      </c>
      <c r="AD56" s="412">
        <v>30</v>
      </c>
      <c r="AE56" s="415"/>
      <c r="AG56" s="342" t="s">
        <v>227</v>
      </c>
      <c r="AH56" s="342"/>
      <c r="AI56" s="342"/>
      <c r="AJ56">
        <f>AH53*Y49</f>
        <v>1642.0323325635111</v>
      </c>
      <c r="AL56">
        <f>AJ56*3</f>
        <v>4926.0969976905335</v>
      </c>
    </row>
    <row r="57" spans="6:39">
      <c r="G57" s="232" t="s">
        <v>197</v>
      </c>
      <c r="H57">
        <f>H53*G49</f>
        <v>228.38889998003594</v>
      </c>
      <c r="J57">
        <f>H57*2</f>
        <v>456.77779996007189</v>
      </c>
      <c r="V57" s="416" t="s">
        <v>235</v>
      </c>
      <c r="W57" s="416"/>
      <c r="X57" s="416"/>
      <c r="Y57" s="412">
        <f>ROUNDUP(L18/(W13*G2),0)</f>
        <v>958</v>
      </c>
      <c r="Z57" s="413"/>
      <c r="AA57" s="413"/>
      <c r="AB57" s="415"/>
      <c r="AC57" s="225">
        <f>O18*Y57</f>
        <v>287.39999999999998</v>
      </c>
      <c r="AD57" s="412">
        <v>30</v>
      </c>
      <c r="AE57" s="415"/>
      <c r="AG57" s="410" t="s">
        <v>175</v>
      </c>
      <c r="AH57" s="410"/>
      <c r="AI57" s="410"/>
      <c r="AJ57">
        <f>AH53*Y50</f>
        <v>173.21016166281763</v>
      </c>
      <c r="AL57">
        <f>AJ57*3</f>
        <v>519.63048498845285</v>
      </c>
    </row>
    <row r="58" spans="6:39">
      <c r="V58" s="417" t="s">
        <v>236</v>
      </c>
      <c r="W58" s="417"/>
      <c r="X58" s="417"/>
      <c r="Y58" s="412">
        <f>ROUNDUP(L20/(W13*G2),0)</f>
        <v>504</v>
      </c>
      <c r="Z58" s="413"/>
      <c r="AA58" s="413"/>
      <c r="AB58" s="415"/>
      <c r="AC58" s="225">
        <f>O16*Y58</f>
        <v>252</v>
      </c>
      <c r="AD58" s="412">
        <v>30</v>
      </c>
      <c r="AE58" s="415"/>
      <c r="AG58" s="342" t="s">
        <v>229</v>
      </c>
      <c r="AH58" s="342"/>
      <c r="AI58" s="342"/>
      <c r="AJ58">
        <f>AH53*Y51</f>
        <v>864.3187066974599</v>
      </c>
      <c r="AL58">
        <f>AJ58*3</f>
        <v>2592.9561200923799</v>
      </c>
    </row>
    <row r="59" spans="6:39">
      <c r="V59" s="243"/>
      <c r="W59" s="243"/>
      <c r="X59" s="243"/>
      <c r="Y59" s="412">
        <f>SUM(Y55:Y58)</f>
        <v>1712</v>
      </c>
      <c r="Z59" s="413"/>
      <c r="AA59" s="413"/>
      <c r="AB59" s="415"/>
      <c r="AC59" s="225">
        <f>SUM(AC55:AC58)</f>
        <v>809.59999999999991</v>
      </c>
      <c r="AD59" s="412">
        <f>SUM(AD55:AD58)</f>
        <v>120</v>
      </c>
      <c r="AE59" s="415"/>
    </row>
    <row r="61" spans="6:39">
      <c r="Z61" s="412" t="s">
        <v>228</v>
      </c>
      <c r="AA61" s="413"/>
      <c r="AB61" s="225">
        <f>900*0.99*0.98</f>
        <v>873.18</v>
      </c>
    </row>
    <row r="62" spans="6:39">
      <c r="AA62" t="s">
        <v>230</v>
      </c>
      <c r="AB62">
        <f>AD59/(AB61-AC59)</f>
        <v>1.8873859704309519</v>
      </c>
    </row>
    <row r="64" spans="6:39">
      <c r="AA64" s="414" t="s">
        <v>231</v>
      </c>
      <c r="AB64" s="414"/>
      <c r="AF64" s="196" t="s">
        <v>232</v>
      </c>
      <c r="AG64" s="196"/>
    </row>
    <row r="65" spans="27:32">
      <c r="AA65" s="410" t="s">
        <v>233</v>
      </c>
      <c r="AB65" s="410"/>
      <c r="AC65" s="410"/>
      <c r="AD65">
        <f>AB62*Y55</f>
        <v>281.22050959421182</v>
      </c>
      <c r="AF65">
        <f>AD65*3</f>
        <v>843.66152878263551</v>
      </c>
    </row>
    <row r="66" spans="27:32">
      <c r="AA66" s="410" t="s">
        <v>234</v>
      </c>
      <c r="AB66" s="410"/>
      <c r="AC66" s="410"/>
      <c r="AD66">
        <f>AB62*Y56</f>
        <v>190.62598301352614</v>
      </c>
      <c r="AF66">
        <f>AD66*3</f>
        <v>571.87794904057841</v>
      </c>
    </row>
    <row r="67" spans="27:32">
      <c r="AA67" s="411" t="s">
        <v>235</v>
      </c>
      <c r="AB67" s="411"/>
      <c r="AC67" s="411"/>
      <c r="AD67">
        <f>AB62*Y57</f>
        <v>1808.1157596728519</v>
      </c>
      <c r="AF67">
        <f>AD67*3</f>
        <v>5424.347279018556</v>
      </c>
    </row>
    <row r="68" spans="27:32">
      <c r="AA68" s="342" t="s">
        <v>236</v>
      </c>
      <c r="AB68" s="342"/>
      <c r="AC68" s="342"/>
      <c r="AD68">
        <f>AB62*Y58</f>
        <v>951.24252909719974</v>
      </c>
      <c r="AF68">
        <f>AD68*3</f>
        <v>2853.7275872915993</v>
      </c>
    </row>
  </sheetData>
  <mergeCells count="188">
    <mergeCell ref="D42:I42"/>
    <mergeCell ref="D43:I43"/>
    <mergeCell ref="U35:U38"/>
    <mergeCell ref="V35:V38"/>
    <mergeCell ref="W35:W38"/>
    <mergeCell ref="A35:B38"/>
    <mergeCell ref="A40:B43"/>
    <mergeCell ref="D40:I40"/>
    <mergeCell ref="N40:O43"/>
    <mergeCell ref="P40:P43"/>
    <mergeCell ref="Q40:Q43"/>
    <mergeCell ref="R40:R43"/>
    <mergeCell ref="S40:S43"/>
    <mergeCell ref="T40:T43"/>
    <mergeCell ref="U40:U43"/>
    <mergeCell ref="V40:V43"/>
    <mergeCell ref="W40:W43"/>
    <mergeCell ref="D41:I41"/>
    <mergeCell ref="N35:O38"/>
    <mergeCell ref="P35:P38"/>
    <mergeCell ref="Q35:Q38"/>
    <mergeCell ref="R35:R38"/>
    <mergeCell ref="S35:S38"/>
    <mergeCell ref="T35:T38"/>
    <mergeCell ref="D35:I35"/>
    <mergeCell ref="D36:I36"/>
    <mergeCell ref="D37:I37"/>
    <mergeCell ref="D38:I38"/>
    <mergeCell ref="A26:B27"/>
    <mergeCell ref="A32:B33"/>
    <mergeCell ref="D23:I24"/>
    <mergeCell ref="D29:I30"/>
    <mergeCell ref="D26:I26"/>
    <mergeCell ref="D27:I27"/>
    <mergeCell ref="D32:I32"/>
    <mergeCell ref="D33:I33"/>
    <mergeCell ref="A23:B24"/>
    <mergeCell ref="W29:W30"/>
    <mergeCell ref="B31:L31"/>
    <mergeCell ref="N32:O33"/>
    <mergeCell ref="P32:P33"/>
    <mergeCell ref="Q32:Q33"/>
    <mergeCell ref="R32:R33"/>
    <mergeCell ref="S32:S33"/>
    <mergeCell ref="T32:T33"/>
    <mergeCell ref="U32:U33"/>
    <mergeCell ref="V32:V33"/>
    <mergeCell ref="W32:W33"/>
    <mergeCell ref="A29:B30"/>
    <mergeCell ref="C29:C30"/>
    <mergeCell ref="J29:K29"/>
    <mergeCell ref="L29:L30"/>
    <mergeCell ref="M29:M30"/>
    <mergeCell ref="N29:O30"/>
    <mergeCell ref="R29:R30"/>
    <mergeCell ref="S29:S30"/>
    <mergeCell ref="T29:T30"/>
    <mergeCell ref="U29:U30"/>
    <mergeCell ref="V29:V30"/>
    <mergeCell ref="P29:P30"/>
    <mergeCell ref="Q29:Q30"/>
    <mergeCell ref="L23:L24"/>
    <mergeCell ref="M23:M24"/>
    <mergeCell ref="N23:N24"/>
    <mergeCell ref="O23:O24"/>
    <mergeCell ref="P23:P24"/>
    <mergeCell ref="Q23:Q24"/>
    <mergeCell ref="R23:R24"/>
    <mergeCell ref="S23:S24"/>
    <mergeCell ref="T23:T24"/>
    <mergeCell ref="W7:W8"/>
    <mergeCell ref="W10:W11"/>
    <mergeCell ref="W13:W16"/>
    <mergeCell ref="W17:W20"/>
    <mergeCell ref="Q1:Q5"/>
    <mergeCell ref="R1:R5"/>
    <mergeCell ref="S1:S5"/>
    <mergeCell ref="T1:T5"/>
    <mergeCell ref="U1:U5"/>
    <mergeCell ref="V1:V5"/>
    <mergeCell ref="W1:W5"/>
    <mergeCell ref="D7:I7"/>
    <mergeCell ref="D8:I8"/>
    <mergeCell ref="P1:P5"/>
    <mergeCell ref="D19:I19"/>
    <mergeCell ref="D13:I13"/>
    <mergeCell ref="D17:I17"/>
    <mergeCell ref="A6:L6"/>
    <mergeCell ref="A4:B5"/>
    <mergeCell ref="A7:B8"/>
    <mergeCell ref="M1:M5"/>
    <mergeCell ref="A2:C2"/>
    <mergeCell ref="V23:V24"/>
    <mergeCell ref="N1:N5"/>
    <mergeCell ref="O1:O5"/>
    <mergeCell ref="A1:C1"/>
    <mergeCell ref="C4:C5"/>
    <mergeCell ref="D4:I5"/>
    <mergeCell ref="A3:C3"/>
    <mergeCell ref="E2:F2"/>
    <mergeCell ref="E3:F3"/>
    <mergeCell ref="L4:L5"/>
    <mergeCell ref="J4:K4"/>
    <mergeCell ref="A10:B11"/>
    <mergeCell ref="D22:I22"/>
    <mergeCell ref="D14:I14"/>
    <mergeCell ref="D18:I18"/>
    <mergeCell ref="D15:I15"/>
    <mergeCell ref="A9:L9"/>
    <mergeCell ref="D21:I21"/>
    <mergeCell ref="D16:I16"/>
    <mergeCell ref="D20:I20"/>
    <mergeCell ref="A13:B20"/>
    <mergeCell ref="D11:I11"/>
    <mergeCell ref="D10:I10"/>
    <mergeCell ref="A12:O12"/>
    <mergeCell ref="M21:O21"/>
    <mergeCell ref="AD49:AE49"/>
    <mergeCell ref="AD50:AE50"/>
    <mergeCell ref="AD51:AE51"/>
    <mergeCell ref="G47:J47"/>
    <mergeCell ref="G48:J48"/>
    <mergeCell ref="P48:R48"/>
    <mergeCell ref="G49:J49"/>
    <mergeCell ref="P49:R49"/>
    <mergeCell ref="M22:O22"/>
    <mergeCell ref="U23:U24"/>
    <mergeCell ref="W23:W24"/>
    <mergeCell ref="B25:L25"/>
    <mergeCell ref="N26:N27"/>
    <mergeCell ref="O26:O27"/>
    <mergeCell ref="P26:P27"/>
    <mergeCell ref="Q26:Q27"/>
    <mergeCell ref="R26:R27"/>
    <mergeCell ref="S26:S27"/>
    <mergeCell ref="T26:T27"/>
    <mergeCell ref="U26:U27"/>
    <mergeCell ref="V26:V27"/>
    <mergeCell ref="W26:W27"/>
    <mergeCell ref="C23:C24"/>
    <mergeCell ref="J23:K23"/>
    <mergeCell ref="V48:X48"/>
    <mergeCell ref="V50:X50"/>
    <mergeCell ref="V55:X55"/>
    <mergeCell ref="V56:X56"/>
    <mergeCell ref="V49:X49"/>
    <mergeCell ref="Y59:AB59"/>
    <mergeCell ref="Y52:AB52"/>
    <mergeCell ref="AD52:AE52"/>
    <mergeCell ref="V47:X47"/>
    <mergeCell ref="V54:X54"/>
    <mergeCell ref="Y54:AB54"/>
    <mergeCell ref="AD54:AE54"/>
    <mergeCell ref="Y55:AB55"/>
    <mergeCell ref="AD55:AE55"/>
    <mergeCell ref="Y56:AB56"/>
    <mergeCell ref="AD56:AE56"/>
    <mergeCell ref="V51:X51"/>
    <mergeCell ref="Y47:AB47"/>
    <mergeCell ref="AD47:AE47"/>
    <mergeCell ref="Y48:AB48"/>
    <mergeCell ref="Y49:AB49"/>
    <mergeCell ref="Y50:AB50"/>
    <mergeCell ref="Y51:AB51"/>
    <mergeCell ref="AD48:AE48"/>
    <mergeCell ref="AJ54:AK54"/>
    <mergeCell ref="AA64:AB64"/>
    <mergeCell ref="AG55:AI55"/>
    <mergeCell ref="AG56:AI56"/>
    <mergeCell ref="AG57:AI57"/>
    <mergeCell ref="AG58:AI58"/>
    <mergeCell ref="V57:X57"/>
    <mergeCell ref="Y57:AB57"/>
    <mergeCell ref="AD57:AE57"/>
    <mergeCell ref="V58:X58"/>
    <mergeCell ref="Y58:AB58"/>
    <mergeCell ref="AD58:AE58"/>
    <mergeCell ref="AD59:AE59"/>
    <mergeCell ref="AA65:AC65"/>
    <mergeCell ref="AA66:AC66"/>
    <mergeCell ref="AA67:AC67"/>
    <mergeCell ref="AA68:AC68"/>
    <mergeCell ref="G51:H51"/>
    <mergeCell ref="P51:Q51"/>
    <mergeCell ref="AG52:AH52"/>
    <mergeCell ref="Z61:AA61"/>
    <mergeCell ref="G55:H55"/>
    <mergeCell ref="P54:Q54"/>
  </mergeCells>
  <phoneticPr fontId="25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T49"/>
  <sheetViews>
    <sheetView zoomScale="107" zoomScaleNormal="107" workbookViewId="0">
      <selection activeCell="C22" sqref="C22:D23"/>
    </sheetView>
  </sheetViews>
  <sheetFormatPr defaultColWidth="8.796875" defaultRowHeight="14.25"/>
  <cols>
    <col min="1" max="2" width="11.1328125" customWidth="1"/>
  </cols>
  <sheetData>
    <row r="2" spans="1:20">
      <c r="C2" s="517" t="s">
        <v>237</v>
      </c>
      <c r="D2" s="517"/>
      <c r="E2" s="517"/>
      <c r="F2" s="517"/>
      <c r="G2" s="517"/>
      <c r="H2" s="517"/>
      <c r="I2" s="517"/>
      <c r="J2" s="517"/>
      <c r="K2" s="517"/>
      <c r="L2" s="517"/>
      <c r="M2" s="517"/>
      <c r="N2" s="517"/>
      <c r="O2" s="517"/>
      <c r="P2" s="517"/>
      <c r="Q2" s="517"/>
      <c r="R2" s="517"/>
      <c r="S2" s="517"/>
      <c r="T2" s="517"/>
    </row>
    <row r="3" spans="1:20" ht="14.65" thickBot="1">
      <c r="C3" s="517"/>
      <c r="D3" s="517"/>
      <c r="E3" s="517"/>
      <c r="F3" s="517"/>
      <c r="G3" s="517"/>
      <c r="H3" s="517"/>
      <c r="I3" s="517"/>
      <c r="J3" s="517"/>
      <c r="K3" s="517"/>
      <c r="L3" s="517"/>
      <c r="M3" s="517"/>
      <c r="N3" s="517"/>
      <c r="O3" s="517"/>
      <c r="P3" s="517"/>
      <c r="Q3" s="517"/>
      <c r="R3" s="517"/>
      <c r="S3" s="517"/>
      <c r="T3" s="517"/>
    </row>
    <row r="4" spans="1:20" ht="14.55" customHeight="1">
      <c r="A4" s="518" t="s">
        <v>238</v>
      </c>
      <c r="B4" s="519"/>
      <c r="C4" s="506" t="s">
        <v>239</v>
      </c>
      <c r="D4" s="509"/>
      <c r="E4" s="506" t="s">
        <v>240</v>
      </c>
      <c r="F4" s="509"/>
      <c r="G4" s="506" t="s">
        <v>20</v>
      </c>
      <c r="H4" s="509"/>
      <c r="I4" s="506" t="s">
        <v>241</v>
      </c>
      <c r="J4" s="509"/>
      <c r="K4" s="506" t="s">
        <v>81</v>
      </c>
      <c r="L4" s="509"/>
      <c r="M4" s="506" t="s">
        <v>242</v>
      </c>
      <c r="N4" s="509"/>
      <c r="O4" s="506" t="s">
        <v>217</v>
      </c>
      <c r="P4" s="509"/>
      <c r="Q4" s="506" t="s">
        <v>243</v>
      </c>
      <c r="R4" s="509"/>
      <c r="S4" s="506" t="s">
        <v>218</v>
      </c>
      <c r="T4" s="507"/>
    </row>
    <row r="5" spans="1:20">
      <c r="A5" s="520"/>
      <c r="B5" s="521"/>
      <c r="C5" s="473"/>
      <c r="D5" s="474"/>
      <c r="E5" s="473"/>
      <c r="F5" s="474"/>
      <c r="G5" s="473"/>
      <c r="H5" s="474"/>
      <c r="I5" s="473"/>
      <c r="J5" s="474"/>
      <c r="K5" s="473"/>
      <c r="L5" s="474"/>
      <c r="M5" s="473"/>
      <c r="N5" s="474"/>
      <c r="O5" s="473"/>
      <c r="P5" s="474"/>
      <c r="Q5" s="473"/>
      <c r="R5" s="474"/>
      <c r="S5" s="473"/>
      <c r="T5" s="508"/>
    </row>
    <row r="6" spans="1:20" ht="14.55" customHeight="1">
      <c r="A6" s="334" t="s">
        <v>239</v>
      </c>
      <c r="B6" s="334"/>
      <c r="C6" s="505"/>
      <c r="D6" s="505"/>
      <c r="E6" s="501"/>
      <c r="F6" s="501"/>
      <c r="G6" s="501"/>
      <c r="H6" s="501"/>
      <c r="I6" s="501"/>
      <c r="J6" s="501"/>
      <c r="K6" s="501"/>
      <c r="L6" s="501"/>
      <c r="M6" s="497"/>
      <c r="N6" s="498"/>
      <c r="O6" s="497"/>
      <c r="P6" s="498"/>
      <c r="Q6" s="501"/>
      <c r="R6" s="501"/>
      <c r="S6" s="501"/>
      <c r="T6" s="502"/>
    </row>
    <row r="7" spans="1:20" ht="14.55" customHeight="1">
      <c r="A7" s="334"/>
      <c r="B7" s="334"/>
      <c r="C7" s="505"/>
      <c r="D7" s="505"/>
      <c r="E7" s="501"/>
      <c r="F7" s="501"/>
      <c r="G7" s="501"/>
      <c r="H7" s="501"/>
      <c r="I7" s="501"/>
      <c r="J7" s="501"/>
      <c r="K7" s="501"/>
      <c r="L7" s="501"/>
      <c r="M7" s="499"/>
      <c r="N7" s="500"/>
      <c r="O7" s="499"/>
      <c r="P7" s="500"/>
      <c r="Q7" s="501"/>
      <c r="R7" s="501"/>
      <c r="S7" s="501"/>
      <c r="T7" s="502"/>
    </row>
    <row r="8" spans="1:20" ht="14.55" customHeight="1">
      <c r="A8" s="334" t="s">
        <v>240</v>
      </c>
      <c r="B8" s="334"/>
      <c r="C8" s="501"/>
      <c r="D8" s="501"/>
      <c r="E8" s="505"/>
      <c r="F8" s="505"/>
      <c r="G8" s="501">
        <f>C10+I10</f>
        <v>4510</v>
      </c>
      <c r="H8" s="501"/>
      <c r="I8" s="501"/>
      <c r="J8" s="501"/>
      <c r="K8" s="501"/>
      <c r="L8" s="501"/>
      <c r="M8" s="497"/>
      <c r="N8" s="498"/>
      <c r="O8" s="497"/>
      <c r="P8" s="498"/>
      <c r="Q8" s="501"/>
      <c r="R8" s="501"/>
      <c r="S8" s="501"/>
      <c r="T8" s="502"/>
    </row>
    <row r="9" spans="1:20" ht="14.55" customHeight="1">
      <c r="A9" s="334"/>
      <c r="B9" s="334"/>
      <c r="C9" s="501"/>
      <c r="D9" s="501"/>
      <c r="E9" s="505"/>
      <c r="F9" s="505"/>
      <c r="G9" s="501"/>
      <c r="H9" s="501"/>
      <c r="I9" s="501"/>
      <c r="J9" s="501"/>
      <c r="K9" s="501"/>
      <c r="L9" s="501"/>
      <c r="M9" s="499"/>
      <c r="N9" s="500"/>
      <c r="O9" s="499"/>
      <c r="P9" s="500"/>
      <c r="Q9" s="501"/>
      <c r="R9" s="501"/>
      <c r="S9" s="501"/>
      <c r="T9" s="502"/>
    </row>
    <row r="10" spans="1:20" ht="14.55" customHeight="1">
      <c r="A10" s="334" t="s">
        <v>20</v>
      </c>
      <c r="B10" s="334"/>
      <c r="C10" s="501">
        <f>SUM(E28:J29)</f>
        <v>2049</v>
      </c>
      <c r="D10" s="501"/>
      <c r="E10" s="501"/>
      <c r="F10" s="501"/>
      <c r="G10" s="505"/>
      <c r="H10" s="505"/>
      <c r="I10" s="501">
        <f>K12</f>
        <v>2461</v>
      </c>
      <c r="J10" s="501"/>
      <c r="K10" s="501"/>
      <c r="L10" s="501"/>
      <c r="M10" s="497"/>
      <c r="N10" s="498"/>
      <c r="O10" s="497"/>
      <c r="P10" s="498"/>
      <c r="Q10" s="501"/>
      <c r="R10" s="501"/>
      <c r="S10" s="501"/>
      <c r="T10" s="502"/>
    </row>
    <row r="11" spans="1:20" ht="14.55" customHeight="1">
      <c r="A11" s="334"/>
      <c r="B11" s="334"/>
      <c r="C11" s="501"/>
      <c r="D11" s="501"/>
      <c r="E11" s="501"/>
      <c r="F11" s="501"/>
      <c r="G11" s="505"/>
      <c r="H11" s="505"/>
      <c r="I11" s="501"/>
      <c r="J11" s="501"/>
      <c r="K11" s="501"/>
      <c r="L11" s="501"/>
      <c r="M11" s="499"/>
      <c r="N11" s="500"/>
      <c r="O11" s="499"/>
      <c r="P11" s="500"/>
      <c r="Q11" s="501"/>
      <c r="R11" s="501"/>
      <c r="S11" s="501"/>
      <c r="T11" s="502"/>
    </row>
    <row r="12" spans="1:20" ht="14.55" customHeight="1">
      <c r="A12" s="334" t="s">
        <v>241</v>
      </c>
      <c r="B12" s="334"/>
      <c r="C12" s="501"/>
      <c r="D12" s="501"/>
      <c r="E12" s="501"/>
      <c r="F12" s="501"/>
      <c r="G12" s="501"/>
      <c r="H12" s="501"/>
      <c r="I12" s="505"/>
      <c r="J12" s="505"/>
      <c r="K12" s="501">
        <f>M14+C14</f>
        <v>2461</v>
      </c>
      <c r="L12" s="501"/>
      <c r="M12" s="501"/>
      <c r="N12" s="501"/>
      <c r="O12" s="501"/>
      <c r="P12" s="501"/>
      <c r="Q12" s="501"/>
      <c r="R12" s="501"/>
      <c r="S12" s="501"/>
      <c r="T12" s="502"/>
    </row>
    <row r="13" spans="1:20" ht="14.55" customHeight="1">
      <c r="A13" s="334"/>
      <c r="B13" s="334"/>
      <c r="C13" s="501"/>
      <c r="D13" s="501"/>
      <c r="E13" s="501"/>
      <c r="F13" s="501"/>
      <c r="G13" s="501"/>
      <c r="H13" s="501"/>
      <c r="I13" s="505"/>
      <c r="J13" s="505"/>
      <c r="K13" s="501"/>
      <c r="L13" s="501"/>
      <c r="M13" s="501"/>
      <c r="N13" s="501"/>
      <c r="O13" s="501"/>
      <c r="P13" s="501"/>
      <c r="Q13" s="501"/>
      <c r="R13" s="501"/>
      <c r="S13" s="501"/>
      <c r="T13" s="502"/>
    </row>
    <row r="14" spans="1:20" ht="14.55" customHeight="1">
      <c r="A14" s="334" t="s">
        <v>81</v>
      </c>
      <c r="B14" s="334"/>
      <c r="C14" s="501">
        <f>K28</f>
        <v>1345</v>
      </c>
      <c r="D14" s="501"/>
      <c r="E14" s="501"/>
      <c r="F14" s="501"/>
      <c r="G14" s="501"/>
      <c r="H14" s="501"/>
      <c r="I14" s="501"/>
      <c r="J14" s="501"/>
      <c r="K14" s="505"/>
      <c r="L14" s="505"/>
      <c r="M14" s="501">
        <f>'$_WARE_BUFFER'!O23+'$_WARE_BUFFER'!O25+'$_WARE_BUFFER'!O27+'$_WARE_BUFFER'!O29</f>
        <v>1116</v>
      </c>
      <c r="N14" s="501"/>
      <c r="O14" s="501"/>
      <c r="P14" s="501"/>
      <c r="Q14" s="501"/>
      <c r="R14" s="501"/>
      <c r="S14" s="501"/>
      <c r="T14" s="502"/>
    </row>
    <row r="15" spans="1:20" ht="14.55" customHeight="1">
      <c r="A15" s="334"/>
      <c r="B15" s="334"/>
      <c r="C15" s="501"/>
      <c r="D15" s="501"/>
      <c r="E15" s="501"/>
      <c r="F15" s="501"/>
      <c r="G15" s="501"/>
      <c r="H15" s="501"/>
      <c r="I15" s="501"/>
      <c r="J15" s="501"/>
      <c r="K15" s="505"/>
      <c r="L15" s="505"/>
      <c r="M15" s="501"/>
      <c r="N15" s="501"/>
      <c r="O15" s="501"/>
      <c r="P15" s="501"/>
      <c r="Q15" s="501"/>
      <c r="R15" s="501"/>
      <c r="S15" s="501"/>
      <c r="T15" s="502"/>
    </row>
    <row r="16" spans="1:20" ht="14.55" customHeight="1">
      <c r="A16" s="334" t="s">
        <v>242</v>
      </c>
      <c r="B16" s="334"/>
      <c r="C16" s="501"/>
      <c r="D16" s="501"/>
      <c r="E16" s="501"/>
      <c r="F16" s="501"/>
      <c r="G16" s="501"/>
      <c r="H16" s="501"/>
      <c r="I16" s="501"/>
      <c r="J16" s="501"/>
      <c r="K16" s="501"/>
      <c r="L16" s="501"/>
      <c r="M16" s="505"/>
      <c r="N16" s="505"/>
      <c r="O16" s="501">
        <f>'$_WARE_BUFFER'!O23+'$_WARE_BUFFER'!O25+'$_WARE_BUFFER'!O27+'$_WARE_BUFFER'!O29</f>
        <v>1116</v>
      </c>
      <c r="P16" s="501"/>
      <c r="Q16" s="501"/>
      <c r="R16" s="501"/>
      <c r="S16" s="501"/>
      <c r="T16" s="502"/>
    </row>
    <row r="17" spans="1:20" ht="14.55" customHeight="1">
      <c r="A17" s="334"/>
      <c r="B17" s="334"/>
      <c r="C17" s="501"/>
      <c r="D17" s="501"/>
      <c r="E17" s="501"/>
      <c r="F17" s="501"/>
      <c r="G17" s="501"/>
      <c r="H17" s="501"/>
      <c r="I17" s="501"/>
      <c r="J17" s="501"/>
      <c r="K17" s="501"/>
      <c r="L17" s="501"/>
      <c r="M17" s="505"/>
      <c r="N17" s="505"/>
      <c r="O17" s="501"/>
      <c r="P17" s="501"/>
      <c r="Q17" s="501"/>
      <c r="R17" s="501"/>
      <c r="S17" s="501"/>
      <c r="T17" s="502"/>
    </row>
    <row r="18" spans="1:20" ht="14.55" customHeight="1">
      <c r="A18" s="334" t="s">
        <v>217</v>
      </c>
      <c r="B18" s="334"/>
      <c r="C18" s="501"/>
      <c r="D18" s="501"/>
      <c r="E18" s="501"/>
      <c r="F18" s="501"/>
      <c r="G18" s="501"/>
      <c r="H18" s="501"/>
      <c r="I18" s="501"/>
      <c r="J18" s="501"/>
      <c r="K18" s="501"/>
      <c r="L18" s="501"/>
      <c r="M18" s="501"/>
      <c r="N18" s="501"/>
      <c r="O18" s="505"/>
      <c r="P18" s="505"/>
      <c r="Q18" s="501">
        <f>'$_WARE_BUFFER'!O24+'$_WARE_BUFFER'!O26+'$_WARE_BUFFER'!O28+'$_WARE_BUFFER'!O30</f>
        <v>1142</v>
      </c>
      <c r="R18" s="501"/>
      <c r="S18" s="501"/>
      <c r="T18" s="502"/>
    </row>
    <row r="19" spans="1:20" ht="14.55" customHeight="1">
      <c r="A19" s="334"/>
      <c r="B19" s="334"/>
      <c r="C19" s="501"/>
      <c r="D19" s="501"/>
      <c r="E19" s="501"/>
      <c r="F19" s="501"/>
      <c r="G19" s="501"/>
      <c r="H19" s="501"/>
      <c r="I19" s="501"/>
      <c r="J19" s="501"/>
      <c r="K19" s="501"/>
      <c r="L19" s="501"/>
      <c r="M19" s="501"/>
      <c r="N19" s="501"/>
      <c r="O19" s="505"/>
      <c r="P19" s="505"/>
      <c r="Q19" s="501"/>
      <c r="R19" s="501"/>
      <c r="S19" s="501"/>
      <c r="T19" s="502"/>
    </row>
    <row r="20" spans="1:20" ht="14.55" customHeight="1">
      <c r="A20" s="334" t="s">
        <v>243</v>
      </c>
      <c r="B20" s="334"/>
      <c r="C20" s="501"/>
      <c r="D20" s="501"/>
      <c r="E20" s="501"/>
      <c r="F20" s="501"/>
      <c r="G20" s="501"/>
      <c r="H20" s="501"/>
      <c r="I20" s="501"/>
      <c r="J20" s="501"/>
      <c r="K20" s="501"/>
      <c r="L20" s="501"/>
      <c r="M20" s="501"/>
      <c r="N20" s="501"/>
      <c r="O20" s="501"/>
      <c r="P20" s="501"/>
      <c r="Q20" s="505"/>
      <c r="R20" s="505"/>
      <c r="S20" s="501">
        <f>'$_WARE_BUFFER'!O24+'$_WARE_BUFFER'!O26+'$_WARE_BUFFER'!O28+'$_WARE_BUFFER'!O30</f>
        <v>1142</v>
      </c>
      <c r="T20" s="502"/>
    </row>
    <row r="21" spans="1:20" ht="14.55" customHeight="1">
      <c r="A21" s="334"/>
      <c r="B21" s="334"/>
      <c r="C21" s="501"/>
      <c r="D21" s="501"/>
      <c r="E21" s="501"/>
      <c r="F21" s="501"/>
      <c r="G21" s="501"/>
      <c r="H21" s="501"/>
      <c r="I21" s="501"/>
      <c r="J21" s="501"/>
      <c r="K21" s="501"/>
      <c r="L21" s="501"/>
      <c r="M21" s="501"/>
      <c r="N21" s="501"/>
      <c r="O21" s="501"/>
      <c r="P21" s="501"/>
      <c r="Q21" s="505"/>
      <c r="R21" s="505"/>
      <c r="S21" s="501"/>
      <c r="T21" s="502"/>
    </row>
    <row r="22" spans="1:20" ht="14.55" customHeight="1">
      <c r="A22" s="334" t="s">
        <v>218</v>
      </c>
      <c r="B22" s="334"/>
      <c r="C22" s="501">
        <f>C28</f>
        <v>507</v>
      </c>
      <c r="D22" s="501"/>
      <c r="E22" s="501"/>
      <c r="F22" s="501"/>
      <c r="G22" s="501"/>
      <c r="H22" s="501"/>
      <c r="I22" s="501"/>
      <c r="J22" s="501"/>
      <c r="K22" s="501"/>
      <c r="L22" s="501"/>
      <c r="M22" s="501"/>
      <c r="N22" s="501"/>
      <c r="O22" s="501"/>
      <c r="P22" s="501"/>
      <c r="Q22" s="501"/>
      <c r="R22" s="501"/>
      <c r="S22" s="505"/>
      <c r="T22" s="514"/>
    </row>
    <row r="23" spans="1:20" ht="14.55" customHeight="1" thickBot="1">
      <c r="A23" s="334"/>
      <c r="B23" s="334"/>
      <c r="C23" s="522"/>
      <c r="D23" s="522"/>
      <c r="E23" s="522"/>
      <c r="F23" s="522"/>
      <c r="G23" s="522"/>
      <c r="H23" s="522"/>
      <c r="I23" s="522"/>
      <c r="J23" s="522"/>
      <c r="K23" s="522"/>
      <c r="L23" s="522"/>
      <c r="M23" s="522"/>
      <c r="N23" s="522"/>
      <c r="O23" s="522"/>
      <c r="P23" s="522"/>
      <c r="Q23" s="522"/>
      <c r="R23" s="522"/>
      <c r="S23" s="515"/>
      <c r="T23" s="516"/>
    </row>
    <row r="26" spans="1:20">
      <c r="A26" s="334" t="s">
        <v>244</v>
      </c>
      <c r="B26" s="334"/>
      <c r="C26" s="343" t="s">
        <v>245</v>
      </c>
      <c r="D26" s="343"/>
      <c r="E26" s="347" t="s">
        <v>246</v>
      </c>
      <c r="F26" s="347"/>
      <c r="G26" s="347" t="s">
        <v>247</v>
      </c>
      <c r="H26" s="347"/>
      <c r="I26" s="347" t="s">
        <v>248</v>
      </c>
      <c r="J26" s="347"/>
      <c r="K26" s="347" t="s">
        <v>57</v>
      </c>
      <c r="L26" s="347"/>
    </row>
    <row r="27" spans="1:20">
      <c r="A27" s="334"/>
      <c r="B27" s="334"/>
      <c r="C27" s="343"/>
      <c r="D27" s="343"/>
      <c r="E27" s="347"/>
      <c r="F27" s="347"/>
      <c r="G27" s="347"/>
      <c r="H27" s="347"/>
      <c r="I27" s="347"/>
      <c r="J27" s="347"/>
      <c r="K27" s="347"/>
      <c r="L27" s="347"/>
    </row>
    <row r="28" spans="1:20">
      <c r="A28" s="334"/>
      <c r="B28" s="334"/>
      <c r="C28" s="503">
        <f>SUM('$_WARE_BUFFER'!O6:O8)</f>
        <v>507</v>
      </c>
      <c r="D28" s="503"/>
      <c r="E28" s="503">
        <f>SUM('$_WARE_BUFFER'!O9:O10)</f>
        <v>400</v>
      </c>
      <c r="F28" s="503"/>
      <c r="G28" s="503">
        <f>SUM('$_WARE_BUFFER'!O11:O12)</f>
        <v>320</v>
      </c>
      <c r="H28" s="503"/>
      <c r="I28" s="503">
        <f>SUM('$_WARE_BUFFER'!O13:O14)</f>
        <v>1329</v>
      </c>
      <c r="J28" s="503"/>
      <c r="K28" s="503">
        <f>'$_WARE_BUFFER'!O15+'$_WARE_BUFFER'!O16</f>
        <v>1345</v>
      </c>
      <c r="L28" s="503"/>
    </row>
    <row r="29" spans="1:20">
      <c r="A29" s="334"/>
      <c r="B29" s="334"/>
      <c r="C29" s="503"/>
      <c r="D29" s="503"/>
      <c r="E29" s="503"/>
      <c r="F29" s="503"/>
      <c r="G29" s="503"/>
      <c r="H29" s="503"/>
      <c r="I29" s="503"/>
      <c r="J29" s="503"/>
      <c r="K29" s="503"/>
      <c r="L29" s="503"/>
    </row>
    <row r="32" spans="1:20" ht="14.55" customHeight="1">
      <c r="A32" s="347" t="s">
        <v>249</v>
      </c>
      <c r="B32" s="347"/>
      <c r="C32" s="347" t="s">
        <v>250</v>
      </c>
      <c r="D32" s="347"/>
      <c r="E32" s="347" t="s">
        <v>251</v>
      </c>
      <c r="F32" s="347"/>
      <c r="G32" s="512" t="s">
        <v>252</v>
      </c>
      <c r="H32" s="513"/>
      <c r="I32" s="513"/>
      <c r="J32" s="513"/>
    </row>
    <row r="33" spans="1:18" ht="14.55" customHeight="1">
      <c r="A33" s="347"/>
      <c r="B33" s="347"/>
      <c r="C33" s="347"/>
      <c r="D33" s="347"/>
      <c r="E33" s="347"/>
      <c r="F33" s="347"/>
      <c r="G33" s="512"/>
      <c r="H33" s="513"/>
      <c r="I33" s="513"/>
      <c r="J33" s="513"/>
    </row>
    <row r="34" spans="1:18">
      <c r="A34" s="347"/>
      <c r="B34" s="347"/>
      <c r="C34" s="504">
        <f>'$_WARE_BUFFER'!O18</f>
        <v>9389</v>
      </c>
      <c r="D34" s="504"/>
      <c r="E34" s="504">
        <f>'$_WARE_BUFFER'!O19</f>
        <v>6260</v>
      </c>
      <c r="F34" s="504"/>
      <c r="G34" s="512"/>
      <c r="H34" s="513"/>
      <c r="I34" s="513"/>
      <c r="J34" s="513"/>
    </row>
    <row r="35" spans="1:18">
      <c r="A35" s="347"/>
      <c r="B35" s="347"/>
      <c r="C35" s="504"/>
      <c r="D35" s="504"/>
      <c r="E35" s="504"/>
      <c r="F35" s="504"/>
      <c r="G35" s="512"/>
      <c r="H35" s="513"/>
      <c r="I35" s="513"/>
      <c r="J35" s="513"/>
    </row>
    <row r="38" spans="1:18" ht="75" customHeight="1">
      <c r="B38" s="496" t="s">
        <v>253</v>
      </c>
      <c r="C38" s="496"/>
      <c r="D38" s="496"/>
      <c r="E38" s="496"/>
      <c r="F38" s="496"/>
      <c r="G38" s="496"/>
      <c r="H38" s="496"/>
      <c r="I38" s="496"/>
    </row>
    <row r="40" spans="1:18">
      <c r="M40" s="510" t="s">
        <v>254</v>
      </c>
      <c r="N40" s="510"/>
      <c r="O40" s="510"/>
      <c r="P40" s="510"/>
      <c r="Q40" s="510"/>
      <c r="R40" s="510"/>
    </row>
    <row r="41" spans="1:18">
      <c r="M41" s="510"/>
      <c r="N41" s="510"/>
      <c r="O41" s="510"/>
      <c r="P41" s="510"/>
      <c r="Q41" s="510"/>
      <c r="R41" s="510"/>
    </row>
    <row r="42" spans="1:18">
      <c r="M42" s="510"/>
      <c r="N42" s="510"/>
      <c r="O42" s="510"/>
      <c r="P42" s="510"/>
      <c r="Q42" s="510"/>
      <c r="R42" s="510"/>
    </row>
    <row r="43" spans="1:18">
      <c r="M43" s="510"/>
      <c r="N43" s="510"/>
      <c r="O43" s="510"/>
      <c r="P43" s="510"/>
      <c r="Q43" s="510"/>
      <c r="R43" s="510"/>
    </row>
    <row r="46" spans="1:18">
      <c r="M46" s="511" t="s">
        <v>255</v>
      </c>
      <c r="N46" s="511"/>
      <c r="O46" s="511"/>
      <c r="P46" s="511"/>
      <c r="Q46" s="511"/>
      <c r="R46" s="511"/>
    </row>
    <row r="47" spans="1:18">
      <c r="M47" s="511"/>
      <c r="N47" s="511"/>
      <c r="O47" s="511"/>
      <c r="P47" s="511"/>
      <c r="Q47" s="511"/>
      <c r="R47" s="511"/>
    </row>
    <row r="48" spans="1:18">
      <c r="M48" s="511"/>
      <c r="N48" s="511"/>
      <c r="O48" s="511"/>
      <c r="P48" s="511"/>
      <c r="Q48" s="511"/>
      <c r="R48" s="511"/>
    </row>
    <row r="49" spans="13:18">
      <c r="M49" s="511"/>
      <c r="N49" s="511"/>
      <c r="O49" s="511"/>
      <c r="P49" s="511"/>
      <c r="Q49" s="511"/>
      <c r="R49" s="511"/>
    </row>
  </sheetData>
  <mergeCells count="121">
    <mergeCell ref="M40:R43"/>
    <mergeCell ref="M46:R49"/>
    <mergeCell ref="K26:L27"/>
    <mergeCell ref="K28:L29"/>
    <mergeCell ref="G32:J35"/>
    <mergeCell ref="S22:T23"/>
    <mergeCell ref="C2:T3"/>
    <mergeCell ref="A4:B5"/>
    <mergeCell ref="S20:T21"/>
    <mergeCell ref="C22:D23"/>
    <mergeCell ref="E22:F23"/>
    <mergeCell ref="G22:H23"/>
    <mergeCell ref="I22:J23"/>
    <mergeCell ref="K22:L23"/>
    <mergeCell ref="M22:N23"/>
    <mergeCell ref="O22:P23"/>
    <mergeCell ref="Q22:R23"/>
    <mergeCell ref="S18:T19"/>
    <mergeCell ref="C20:D21"/>
    <mergeCell ref="E20:F21"/>
    <mergeCell ref="G20:H21"/>
    <mergeCell ref="I20:J21"/>
    <mergeCell ref="K20:L21"/>
    <mergeCell ref="M20:N21"/>
    <mergeCell ref="O20:P21"/>
    <mergeCell ref="Q20:R21"/>
    <mergeCell ref="S16:T17"/>
    <mergeCell ref="C16:D17"/>
    <mergeCell ref="E16:F17"/>
    <mergeCell ref="G16:H17"/>
    <mergeCell ref="I16:J17"/>
    <mergeCell ref="K16:L17"/>
    <mergeCell ref="M16:N17"/>
    <mergeCell ref="O16:P17"/>
    <mergeCell ref="Q16:R17"/>
    <mergeCell ref="C18:D19"/>
    <mergeCell ref="E18:F19"/>
    <mergeCell ref="G18:H19"/>
    <mergeCell ref="I18:J19"/>
    <mergeCell ref="K18:L19"/>
    <mergeCell ref="M18:N19"/>
    <mergeCell ref="O18:P19"/>
    <mergeCell ref="Q18:R19"/>
    <mergeCell ref="G8:H9"/>
    <mergeCell ref="I8:J9"/>
    <mergeCell ref="K8:L9"/>
    <mergeCell ref="M8:N9"/>
    <mergeCell ref="O8:P9"/>
    <mergeCell ref="Q8:R9"/>
    <mergeCell ref="S8:T9"/>
    <mergeCell ref="C14:D15"/>
    <mergeCell ref="E14:F15"/>
    <mergeCell ref="G14:H15"/>
    <mergeCell ref="I14:J15"/>
    <mergeCell ref="K14:L15"/>
    <mergeCell ref="C12:D13"/>
    <mergeCell ref="E12:F13"/>
    <mergeCell ref="G12:H13"/>
    <mergeCell ref="I12:J13"/>
    <mergeCell ref="K12:L13"/>
    <mergeCell ref="C10:D11"/>
    <mergeCell ref="E10:F11"/>
    <mergeCell ref="G10:H11"/>
    <mergeCell ref="I10:J11"/>
    <mergeCell ref="K10:L11"/>
    <mergeCell ref="S4:T5"/>
    <mergeCell ref="C6:D7"/>
    <mergeCell ref="E6:F7"/>
    <mergeCell ref="G6:H7"/>
    <mergeCell ref="I6:J7"/>
    <mergeCell ref="K6:L7"/>
    <mergeCell ref="M6:N7"/>
    <mergeCell ref="O6:P7"/>
    <mergeCell ref="Q6:R7"/>
    <mergeCell ref="G4:H5"/>
    <mergeCell ref="I4:J5"/>
    <mergeCell ref="K4:L5"/>
    <mergeCell ref="M4:N5"/>
    <mergeCell ref="O4:P5"/>
    <mergeCell ref="Q4:R5"/>
    <mergeCell ref="C4:D5"/>
    <mergeCell ref="E4:F5"/>
    <mergeCell ref="S6:T7"/>
    <mergeCell ref="A26:B29"/>
    <mergeCell ref="C28:D29"/>
    <mergeCell ref="E26:F27"/>
    <mergeCell ref="A16:B17"/>
    <mergeCell ref="A18:B19"/>
    <mergeCell ref="A20:B21"/>
    <mergeCell ref="A22:B23"/>
    <mergeCell ref="A6:B7"/>
    <mergeCell ref="A8:B9"/>
    <mergeCell ref="A10:B11"/>
    <mergeCell ref="A12:B13"/>
    <mergeCell ref="A14:B15"/>
    <mergeCell ref="C8:D9"/>
    <mergeCell ref="E8:F9"/>
    <mergeCell ref="B38:I38"/>
    <mergeCell ref="M10:N11"/>
    <mergeCell ref="O10:P11"/>
    <mergeCell ref="Q10:R11"/>
    <mergeCell ref="S10:T11"/>
    <mergeCell ref="M12:N13"/>
    <mergeCell ref="O12:P13"/>
    <mergeCell ref="Q12:R13"/>
    <mergeCell ref="S12:T13"/>
    <mergeCell ref="M14:N15"/>
    <mergeCell ref="O14:P15"/>
    <mergeCell ref="Q14:R15"/>
    <mergeCell ref="S14:T15"/>
    <mergeCell ref="G26:H27"/>
    <mergeCell ref="I26:J27"/>
    <mergeCell ref="E28:F29"/>
    <mergeCell ref="G28:H29"/>
    <mergeCell ref="I28:J29"/>
    <mergeCell ref="A32:B35"/>
    <mergeCell ref="C32:D33"/>
    <mergeCell ref="E32:F33"/>
    <mergeCell ref="C34:D35"/>
    <mergeCell ref="E34:F35"/>
    <mergeCell ref="C26:D27"/>
  </mergeCells>
  <phoneticPr fontId="25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52"/>
  <sheetViews>
    <sheetView zoomScale="116" zoomScaleNormal="85" workbookViewId="0">
      <pane xSplit="9" ySplit="5" topLeftCell="M6" activePane="bottomRight" state="frozen"/>
      <selection pane="topRight" activeCell="J1" sqref="J1"/>
      <selection pane="bottomLeft" activeCell="A6" sqref="A6"/>
      <selection pane="bottomRight" activeCell="U7" sqref="U7"/>
    </sheetView>
  </sheetViews>
  <sheetFormatPr defaultColWidth="8.796875" defaultRowHeight="14.25" outlineLevelCol="1"/>
  <cols>
    <col min="1" max="1" width="13.796875" customWidth="1"/>
    <col min="2" max="2" width="11.1328125" customWidth="1"/>
    <col min="3" max="3" width="14.1328125" customWidth="1"/>
    <col min="4" max="4" width="23.6640625" bestFit="1" customWidth="1"/>
    <col min="5" max="7" width="12" customWidth="1"/>
    <col min="8" max="8" width="10.1328125" customWidth="1"/>
    <col min="9" max="9" width="17" bestFit="1" customWidth="1"/>
    <col min="13" max="13" width="14.1328125" customWidth="1" outlineLevel="1"/>
    <col min="14" max="15" width="8.796875" customWidth="1" outlineLevel="1"/>
    <col min="16" max="16" width="9.6640625" bestFit="1" customWidth="1"/>
    <col min="17" max="17" width="9.1328125" bestFit="1" customWidth="1"/>
    <col min="20" max="20" width="14.6640625" customWidth="1"/>
    <col min="21" max="21" width="10.1328125" customWidth="1"/>
  </cols>
  <sheetData>
    <row r="1" spans="1:21" ht="30" customHeight="1">
      <c r="A1" s="344" t="s">
        <v>177</v>
      </c>
      <c r="B1" s="344"/>
      <c r="C1" s="344"/>
      <c r="D1" s="42">
        <f>D2+D3</f>
        <v>15649</v>
      </c>
      <c r="E1" s="25" t="s">
        <v>178</v>
      </c>
      <c r="F1" s="42">
        <f>D1/22</f>
        <v>711.31818181818187</v>
      </c>
      <c r="G1" s="10" t="s">
        <v>179</v>
      </c>
      <c r="H1" s="9">
        <f>'$_DATA'!M8</f>
        <v>330</v>
      </c>
      <c r="I1" s="10" t="s">
        <v>11</v>
      </c>
      <c r="J1" s="1"/>
      <c r="P1" s="345"/>
      <c r="Q1" s="345"/>
      <c r="R1" s="16"/>
      <c r="S1" s="12"/>
      <c r="T1" s="12"/>
    </row>
    <row r="2" spans="1:21" ht="30" customHeight="1">
      <c r="A2" s="344" t="s">
        <v>191</v>
      </c>
      <c r="B2" s="344"/>
      <c r="C2" s="344"/>
      <c r="D2" s="42">
        <f>'$_BOM_CYCLE'!K4</f>
        <v>9389</v>
      </c>
      <c r="E2" s="346" t="s">
        <v>192</v>
      </c>
      <c r="F2" s="346"/>
      <c r="G2" s="9">
        <v>22</v>
      </c>
      <c r="H2" s="48" t="s">
        <v>256</v>
      </c>
      <c r="I2" s="43">
        <v>0.2</v>
      </c>
      <c r="J2" s="347" t="s">
        <v>257</v>
      </c>
      <c r="K2" s="343"/>
      <c r="L2" s="343"/>
      <c r="M2" s="343"/>
      <c r="N2" s="343"/>
      <c r="O2" s="343"/>
      <c r="P2" s="348" t="s">
        <v>258</v>
      </c>
      <c r="Q2" s="349"/>
      <c r="R2" s="349"/>
      <c r="S2" s="349"/>
      <c r="T2" s="349"/>
      <c r="U2" s="350"/>
    </row>
    <row r="3" spans="1:21" ht="30" customHeight="1">
      <c r="A3" s="344" t="s">
        <v>193</v>
      </c>
      <c r="B3" s="344"/>
      <c r="C3" s="344"/>
      <c r="D3" s="42">
        <f>'$_BOM_CYCLE'!K25</f>
        <v>6260</v>
      </c>
      <c r="E3" s="346" t="s">
        <v>259</v>
      </c>
      <c r="F3" s="346"/>
      <c r="G3" s="9">
        <v>15</v>
      </c>
      <c r="H3" s="14"/>
      <c r="I3" s="30"/>
      <c r="J3" s="343"/>
      <c r="K3" s="343"/>
      <c r="L3" s="343"/>
      <c r="M3" s="343"/>
      <c r="N3" s="343"/>
      <c r="O3" s="343"/>
      <c r="P3" s="351"/>
      <c r="Q3" s="352"/>
      <c r="R3" s="352"/>
      <c r="S3" s="352"/>
      <c r="T3" s="352"/>
      <c r="U3" s="353"/>
    </row>
    <row r="4" spans="1:21" ht="14.55" customHeight="1">
      <c r="A4" s="342"/>
      <c r="B4" s="342"/>
      <c r="C4" s="343" t="s">
        <v>125</v>
      </c>
      <c r="D4" s="343" t="s">
        <v>126</v>
      </c>
      <c r="E4" s="343"/>
      <c r="F4" s="343"/>
      <c r="G4" s="343"/>
      <c r="H4" s="343"/>
      <c r="I4" s="343"/>
      <c r="J4" s="341" t="s">
        <v>194</v>
      </c>
      <c r="K4" s="341"/>
      <c r="L4" s="335" t="s">
        <v>195</v>
      </c>
      <c r="M4" s="334" t="s">
        <v>32</v>
      </c>
      <c r="N4" s="335" t="s">
        <v>260</v>
      </c>
      <c r="O4" s="340" t="s">
        <v>261</v>
      </c>
      <c r="P4" s="334" t="s">
        <v>262</v>
      </c>
      <c r="Q4" s="334" t="s">
        <v>256</v>
      </c>
      <c r="R4" s="334" t="s">
        <v>195</v>
      </c>
      <c r="S4" s="340" t="s">
        <v>261</v>
      </c>
      <c r="T4" s="330" t="s">
        <v>263</v>
      </c>
      <c r="U4" s="330" t="s">
        <v>264</v>
      </c>
    </row>
    <row r="5" spans="1:21" ht="14.55" customHeight="1">
      <c r="A5" s="342"/>
      <c r="B5" s="342"/>
      <c r="C5" s="343"/>
      <c r="D5" s="343"/>
      <c r="E5" s="343"/>
      <c r="F5" s="343"/>
      <c r="G5" s="343"/>
      <c r="H5" s="343"/>
      <c r="I5" s="343"/>
      <c r="J5" s="31" t="s">
        <v>196</v>
      </c>
      <c r="K5" s="31" t="s">
        <v>197</v>
      </c>
      <c r="L5" s="335"/>
      <c r="M5" s="335"/>
      <c r="N5" s="335"/>
      <c r="O5" s="341"/>
      <c r="P5" s="334"/>
      <c r="Q5" s="334"/>
      <c r="R5" s="334"/>
      <c r="S5" s="341"/>
      <c r="T5" s="330"/>
      <c r="U5" s="330"/>
    </row>
    <row r="6" spans="1:21" ht="14.55" customHeight="1">
      <c r="A6" s="331" t="s">
        <v>265</v>
      </c>
      <c r="B6" s="106"/>
      <c r="C6" s="14" t="str">
        <f>'$_BOM_CYCLE'!F11</f>
        <v>ESTLAM001</v>
      </c>
      <c r="D6" s="406" t="str">
        <f>'$_BOM_CYCLE'!I11</f>
        <v>METAL SHEET 1500x2000x3</v>
      </c>
      <c r="E6" s="407"/>
      <c r="F6" s="407"/>
      <c r="G6" s="407"/>
      <c r="H6" s="407"/>
      <c r="I6" s="408"/>
      <c r="J6" s="76">
        <f>'$_BOM_CYCLE'!K32</f>
        <v>1330.3665733709918</v>
      </c>
      <c r="K6" s="76">
        <f>'$_BOM_CYCLE'!K32</f>
        <v>1330.3665733709918</v>
      </c>
      <c r="L6" s="76">
        <f>K6+J6</f>
        <v>2660.7331467419835</v>
      </c>
      <c r="M6" s="74" t="str">
        <f>'$_DATA'!B35</f>
        <v>PALLET</v>
      </c>
      <c r="N6" s="80">
        <f>'$_DATA'!J35</f>
        <v>25</v>
      </c>
      <c r="O6" s="90">
        <f>ROUNDUP((L6/N6),0)</f>
        <v>107</v>
      </c>
      <c r="P6" s="91">
        <f>$L$6/($G$2/'$_DATA'!$P$34)</f>
        <v>1209.4241576099923</v>
      </c>
      <c r="Q6" s="91">
        <f>L6/$G$2*'$_DATA'!$Q$34</f>
        <v>362.82724728299775</v>
      </c>
      <c r="R6" s="91">
        <f>P6+Q6</f>
        <v>1572.2514048929902</v>
      </c>
      <c r="S6" s="74">
        <f>ROUNDUP(R6/N6,0)</f>
        <v>63</v>
      </c>
      <c r="T6" s="92">
        <f>(P6/2+Q6)/(L6/$G$2)</f>
        <v>7.9999999999999991</v>
      </c>
      <c r="U6" s="92">
        <f>L6/(0.5*P6+Q6)</f>
        <v>2.7500000000000004</v>
      </c>
    </row>
    <row r="7" spans="1:21" ht="14.55" customHeight="1">
      <c r="A7" s="332"/>
      <c r="B7" s="106"/>
      <c r="C7" s="14" t="str">
        <f>'$_BOM_CYCLE'!F15</f>
        <v>ESTLAM002</v>
      </c>
      <c r="D7" s="406" t="str">
        <f>'$_BOM_CYCLE'!I15</f>
        <v>METAL SHEET 1000x1500x3</v>
      </c>
      <c r="E7" s="407"/>
      <c r="F7" s="407"/>
      <c r="G7" s="407"/>
      <c r="H7" s="407"/>
      <c r="I7" s="408"/>
      <c r="J7" s="76"/>
      <c r="K7" s="76">
        <f>'$_BOM_CYCLE'!K36</f>
        <v>1662.9582167137396</v>
      </c>
      <c r="L7" s="76">
        <f t="shared" ref="L7:L30" si="0">K7+J7</f>
        <v>1662.9582167137396</v>
      </c>
      <c r="M7" s="74" t="str">
        <f>'$_DATA'!B36</f>
        <v>PALLET</v>
      </c>
      <c r="N7" s="80">
        <f>'$_DATA'!J36</f>
        <v>25</v>
      </c>
      <c r="O7" s="90">
        <f t="shared" ref="O7:O29" si="1">ROUNDUP((L7/N7),0)</f>
        <v>67</v>
      </c>
      <c r="P7" s="91">
        <f>$L$7/($G$2/'$_DATA'!$P$34)</f>
        <v>755.89009850624518</v>
      </c>
      <c r="Q7" s="91">
        <f>L7/$G$2*'$_DATA'!$Q$34</f>
        <v>226.76702955187358</v>
      </c>
      <c r="R7" s="91">
        <f t="shared" ref="R7:R16" si="2">P7+Q7</f>
        <v>982.65712805811881</v>
      </c>
      <c r="S7" s="74">
        <f t="shared" ref="S7:S16" si="3">ROUNDUP(R7/N7,0)</f>
        <v>40</v>
      </c>
      <c r="T7" s="92">
        <f t="shared" ref="T7:T30" si="4">(P7/2+Q7)/(L7/$G$2)</f>
        <v>8</v>
      </c>
      <c r="U7" s="92">
        <f>L7/(0.5*P7+Q7)</f>
        <v>2.7500000000000004</v>
      </c>
    </row>
    <row r="8" spans="1:21" ht="14.55" customHeight="1">
      <c r="A8" s="332"/>
      <c r="B8" s="106"/>
      <c r="C8" s="14" t="str">
        <f>'$_BOM_CYCLE'!F19</f>
        <v>ESTLAM003</v>
      </c>
      <c r="D8" s="406" t="str">
        <f>'$_BOM_CYCLE'!I19</f>
        <v>METAL SHEET 1000x2000x3</v>
      </c>
      <c r="E8" s="407"/>
      <c r="F8" s="407"/>
      <c r="G8" s="407"/>
      <c r="H8" s="407"/>
      <c r="I8" s="408"/>
      <c r="J8" s="76">
        <f>'$_BOM_CYCLE'!K19</f>
        <v>4988.3433535863578</v>
      </c>
      <c r="K8" s="76">
        <f>'$_BOM_CYCLE'!K40</f>
        <v>3325.9164334274792</v>
      </c>
      <c r="L8" s="76">
        <f t="shared" si="0"/>
        <v>8314.2597870138379</v>
      </c>
      <c r="M8" s="74" t="str">
        <f>'$_DATA'!B37</f>
        <v>PALLET</v>
      </c>
      <c r="N8" s="80">
        <f>'$_DATA'!J37</f>
        <v>25</v>
      </c>
      <c r="O8" s="90">
        <f t="shared" si="1"/>
        <v>333</v>
      </c>
      <c r="P8" s="91">
        <f>$L$8/($G$2/'$_DATA'!$P$34)</f>
        <v>3779.2089940971987</v>
      </c>
      <c r="Q8" s="91">
        <f>L8/$G$2*'$_DATA'!$Q$34</f>
        <v>1133.7626982291597</v>
      </c>
      <c r="R8" s="91">
        <f t="shared" si="2"/>
        <v>4912.9716923263586</v>
      </c>
      <c r="S8" s="74">
        <f t="shared" si="3"/>
        <v>197</v>
      </c>
      <c r="T8" s="92">
        <f t="shared" si="4"/>
        <v>8</v>
      </c>
      <c r="U8" s="92">
        <f t="shared" ref="U8:U30" si="5">L8/(0.5*P8+Q8)</f>
        <v>2.75</v>
      </c>
    </row>
    <row r="9" spans="1:21" ht="14.55" customHeight="1">
      <c r="A9" s="332"/>
      <c r="B9" s="106"/>
      <c r="C9" s="14" t="str">
        <f>'$_BOM_CYCLE'!F22</f>
        <v>ESTING001</v>
      </c>
      <c r="D9" s="406" t="s">
        <v>143</v>
      </c>
      <c r="E9" s="407"/>
      <c r="F9" s="407"/>
      <c r="G9" s="407"/>
      <c r="H9" s="407"/>
      <c r="I9" s="408"/>
      <c r="J9" s="76">
        <f>'$_BOM_CYCLE'!K22</f>
        <v>19358.762886597939</v>
      </c>
      <c r="K9" s="76">
        <f>'$_BOM_CYCLE'!K43</f>
        <v>12520</v>
      </c>
      <c r="L9" s="76">
        <f t="shared" si="0"/>
        <v>31878.762886597939</v>
      </c>
      <c r="M9" s="74" t="str">
        <f>'$_DATA'!B39</f>
        <v>NORM.</v>
      </c>
      <c r="N9" s="80">
        <f>'$_DATA'!J39</f>
        <v>200</v>
      </c>
      <c r="O9" s="90">
        <f t="shared" si="1"/>
        <v>160</v>
      </c>
      <c r="P9" s="91">
        <f>$L$9/($G$2/'$_DATA'!P36)</f>
        <v>4347.1040299906281</v>
      </c>
      <c r="Q9" s="91">
        <f>L9/$G$2*'$_DATA'!$Q$34</f>
        <v>4347.1040299906281</v>
      </c>
      <c r="R9" s="91">
        <f t="shared" si="2"/>
        <v>8694.2080599812562</v>
      </c>
      <c r="S9" s="74">
        <f t="shared" si="3"/>
        <v>44</v>
      </c>
      <c r="T9" s="92">
        <f t="shared" si="4"/>
        <v>4.5</v>
      </c>
      <c r="U9" s="92">
        <f t="shared" si="5"/>
        <v>4.8888888888888884</v>
      </c>
    </row>
    <row r="10" spans="1:21" ht="14.55" customHeight="1">
      <c r="A10" s="332"/>
      <c r="B10" s="106"/>
      <c r="C10" s="14" t="str">
        <f>'$_BOM_CYCLE'!F23</f>
        <v>ESTING002</v>
      </c>
      <c r="D10" s="406" t="s">
        <v>144</v>
      </c>
      <c r="E10" s="407"/>
      <c r="F10" s="407"/>
      <c r="G10" s="407"/>
      <c r="H10" s="407"/>
      <c r="I10" s="408"/>
      <c r="J10" s="76">
        <f>'$_BOM_CYCLE'!K23</f>
        <v>29038.14432989691</v>
      </c>
      <c r="K10" s="76">
        <f>'$_BOM_CYCLE'!K44</f>
        <v>18780</v>
      </c>
      <c r="L10" s="76">
        <f t="shared" si="0"/>
        <v>47818.14432989691</v>
      </c>
      <c r="M10" s="74" t="str">
        <f>'$_DATA'!B40</f>
        <v>NORM.</v>
      </c>
      <c r="N10" s="80">
        <f>'$_DATA'!J40</f>
        <v>200</v>
      </c>
      <c r="O10" s="90">
        <f t="shared" si="1"/>
        <v>240</v>
      </c>
      <c r="P10" s="91">
        <f>$L$10/($G$2/'$_DATA'!P36)</f>
        <v>6520.6560449859426</v>
      </c>
      <c r="Q10" s="91">
        <f>L10/$G$2*'$_DATA'!$Q$34</f>
        <v>6520.6560449859426</v>
      </c>
      <c r="R10" s="91">
        <f t="shared" si="2"/>
        <v>13041.312089971885</v>
      </c>
      <c r="S10" s="74">
        <f t="shared" si="3"/>
        <v>66</v>
      </c>
      <c r="T10" s="92">
        <f t="shared" si="4"/>
        <v>4.5</v>
      </c>
      <c r="U10" s="92">
        <f t="shared" si="5"/>
        <v>4.8888888888888884</v>
      </c>
    </row>
    <row r="11" spans="1:21" ht="14.55" customHeight="1">
      <c r="A11" s="332"/>
      <c r="B11" s="106"/>
      <c r="C11" s="14" t="str">
        <f>'$_BOM_CYCLE'!F21</f>
        <v>ESTALB001</v>
      </c>
      <c r="D11" s="406" t="s">
        <v>89</v>
      </c>
      <c r="E11" s="407"/>
      <c r="F11" s="407"/>
      <c r="G11" s="407"/>
      <c r="H11" s="407"/>
      <c r="I11" s="408"/>
      <c r="J11" s="76">
        <f>'$_BOM_CYCLE'!K21</f>
        <v>9679.3814432989693</v>
      </c>
      <c r="K11" s="76"/>
      <c r="L11" s="76">
        <f t="shared" si="0"/>
        <v>9679.3814432989693</v>
      </c>
      <c r="M11" s="74" t="str">
        <f>'$_DATA'!B51</f>
        <v>NORM.</v>
      </c>
      <c r="N11" s="80">
        <f>'$_DATA'!J51</f>
        <v>50</v>
      </c>
      <c r="O11" s="90">
        <f t="shared" si="1"/>
        <v>194</v>
      </c>
      <c r="P11" s="91">
        <f>$L$11/($G$2/'$_DATA'!P38)</f>
        <v>4399.7188378631672</v>
      </c>
      <c r="Q11" s="91">
        <f>L11/$G$2*'$_DATA'!$Q$34</f>
        <v>1319.9156513589503</v>
      </c>
      <c r="R11" s="91">
        <f t="shared" si="2"/>
        <v>5719.6344892221177</v>
      </c>
      <c r="S11" s="74">
        <f t="shared" si="3"/>
        <v>115</v>
      </c>
      <c r="T11" s="92">
        <f t="shared" si="4"/>
        <v>8</v>
      </c>
      <c r="U11" s="92">
        <f t="shared" si="5"/>
        <v>2.75</v>
      </c>
    </row>
    <row r="12" spans="1:21" ht="14.55" customHeight="1">
      <c r="A12" s="332"/>
      <c r="B12" s="106"/>
      <c r="C12" s="14" t="str">
        <f>'$_BOM_CYCLE'!F42</f>
        <v>ESTALB002</v>
      </c>
      <c r="D12" s="406" t="s">
        <v>95</v>
      </c>
      <c r="E12" s="407"/>
      <c r="F12" s="407"/>
      <c r="G12" s="407"/>
      <c r="H12" s="407"/>
      <c r="I12" s="408"/>
      <c r="J12" s="76"/>
      <c r="K12" s="76">
        <f>'$_BOM_CYCLE'!K42</f>
        <v>6260</v>
      </c>
      <c r="L12" s="76">
        <f t="shared" si="0"/>
        <v>6260</v>
      </c>
      <c r="M12" s="74" t="str">
        <f>'$_DATA'!B52</f>
        <v>NORM.</v>
      </c>
      <c r="N12" s="80">
        <f>'$_DATA'!J52</f>
        <v>50</v>
      </c>
      <c r="O12" s="90">
        <f t="shared" si="1"/>
        <v>126</v>
      </c>
      <c r="P12" s="91">
        <f>$L$12/($G$2/'$_DATA'!P38)</f>
        <v>2845.454545454545</v>
      </c>
      <c r="Q12" s="91">
        <f>L12/$G$2*'$_DATA'!$Q$34</f>
        <v>853.63636363636374</v>
      </c>
      <c r="R12" s="91">
        <f t="shared" si="2"/>
        <v>3699.090909090909</v>
      </c>
      <c r="S12" s="74">
        <f t="shared" si="3"/>
        <v>74</v>
      </c>
      <c r="T12" s="92">
        <f t="shared" si="4"/>
        <v>7.9999999999999982</v>
      </c>
      <c r="U12" s="92">
        <f t="shared" si="5"/>
        <v>2.7500000000000004</v>
      </c>
    </row>
    <row r="13" spans="1:21" ht="14.55" customHeight="1">
      <c r="A13" s="332"/>
      <c r="B13" s="106"/>
      <c r="C13" s="14" t="str">
        <f>'$_BOM_CYCLE'!F24</f>
        <v>ESTASS003</v>
      </c>
      <c r="D13" s="406" t="str">
        <f>'$_BOM_CYCLE'!I24</f>
        <v>COMPLETE SHAFT WITH HAMMERS  FOR FLAIL MOWERS L=1500</v>
      </c>
      <c r="E13" s="407"/>
      <c r="F13" s="407"/>
      <c r="G13" s="407"/>
      <c r="H13" s="407"/>
      <c r="I13" s="408"/>
      <c r="J13" s="76">
        <f>'$_BOM_CYCLE'!K24</f>
        <v>9679.3814432989693</v>
      </c>
      <c r="K13" s="76"/>
      <c r="L13" s="76">
        <f t="shared" si="0"/>
        <v>9679.3814432989693</v>
      </c>
      <c r="M13" s="74" t="str">
        <f>'$_DATA'!B49</f>
        <v>SPEC.</v>
      </c>
      <c r="N13" s="80">
        <f>'$_DATA'!J49</f>
        <v>12</v>
      </c>
      <c r="O13" s="90">
        <f>ROUNDUP((L13/N13),0)</f>
        <v>807</v>
      </c>
      <c r="P13" s="91">
        <f>$L$13/($G$2/'$_DATA'!P40)</f>
        <v>2199.8594189315836</v>
      </c>
      <c r="Q13" s="91">
        <f>L13/$G$2*'$_DATA'!$Q$34</f>
        <v>1319.9156513589503</v>
      </c>
      <c r="R13" s="91">
        <f t="shared" si="2"/>
        <v>3519.7750702905341</v>
      </c>
      <c r="S13" s="74">
        <f t="shared" si="3"/>
        <v>294</v>
      </c>
      <c r="T13" s="92">
        <f t="shared" si="4"/>
        <v>5.4999999999999991</v>
      </c>
      <c r="U13" s="92">
        <f t="shared" si="5"/>
        <v>4.0000000000000009</v>
      </c>
    </row>
    <row r="14" spans="1:21" ht="14.55" customHeight="1">
      <c r="A14" s="332"/>
      <c r="B14" s="106"/>
      <c r="C14" s="14" t="str">
        <f>'$_BOM_CYCLE'!F45</f>
        <v>ESTASS004</v>
      </c>
      <c r="D14" s="406" t="str">
        <f>'$_BOM_CYCLE'!I45</f>
        <v>COMPLETE SHAFT WITH HAMMERS FOR FLAIL MOWERS L=1750</v>
      </c>
      <c r="E14" s="407"/>
      <c r="F14" s="407"/>
      <c r="G14" s="407"/>
      <c r="H14" s="407"/>
      <c r="I14" s="408"/>
      <c r="J14" s="76"/>
      <c r="K14" s="76">
        <f>'$_BOM_CYCLE'!K45</f>
        <v>6260</v>
      </c>
      <c r="L14" s="76">
        <f t="shared" si="0"/>
        <v>6260</v>
      </c>
      <c r="M14" s="74" t="str">
        <f>'$_DATA'!B50</f>
        <v>SPEC.</v>
      </c>
      <c r="N14" s="80">
        <f>'$_DATA'!J50</f>
        <v>12</v>
      </c>
      <c r="O14" s="90">
        <f t="shared" si="1"/>
        <v>522</v>
      </c>
      <c r="P14" s="91">
        <f>$L$14/($G$2/'$_DATA'!P40)</f>
        <v>1422.7272727272725</v>
      </c>
      <c r="Q14" s="91">
        <f>L14/$G$2*'$_DATA'!$Q$34</f>
        <v>853.63636363636374</v>
      </c>
      <c r="R14" s="91">
        <f t="shared" si="2"/>
        <v>2276.363636363636</v>
      </c>
      <c r="S14" s="74">
        <f t="shared" si="3"/>
        <v>190</v>
      </c>
      <c r="T14" s="92">
        <f t="shared" si="4"/>
        <v>5.5</v>
      </c>
      <c r="U14" s="92">
        <f t="shared" si="5"/>
        <v>4</v>
      </c>
    </row>
    <row r="15" spans="1:21" ht="14.55" customHeight="1">
      <c r="A15" s="332"/>
      <c r="B15" s="106"/>
      <c r="C15" s="14" t="str">
        <f>'$_BOM_CYCLE'!F20</f>
        <v>ESTSAL001</v>
      </c>
      <c r="D15" s="406" t="s">
        <v>141</v>
      </c>
      <c r="E15" s="407"/>
      <c r="F15" s="407"/>
      <c r="G15" s="407"/>
      <c r="H15" s="407"/>
      <c r="I15" s="408"/>
      <c r="J15" s="76">
        <f>'$_BOM_CYCLE'!K20</f>
        <v>9679.3814432989693</v>
      </c>
      <c r="K15" s="76"/>
      <c r="L15" s="76">
        <f t="shared" si="0"/>
        <v>9679.3814432989693</v>
      </c>
      <c r="M15" s="74" t="str">
        <f>'$_DATA'!B65</f>
        <v>SPEC.</v>
      </c>
      <c r="N15" s="80">
        <f>'$_DATA'!J65</f>
        <v>12</v>
      </c>
      <c r="O15" s="90">
        <f t="shared" si="1"/>
        <v>807</v>
      </c>
      <c r="P15" s="91">
        <f>$L$15/($G$2/'$_DATA'!P42)</f>
        <v>4399.7188378631672</v>
      </c>
      <c r="Q15" s="91">
        <f>L15/$G$2*'$_DATA'!$Q$34</f>
        <v>1319.9156513589503</v>
      </c>
      <c r="R15" s="91">
        <f t="shared" si="2"/>
        <v>5719.6344892221177</v>
      </c>
      <c r="S15" s="74">
        <f>ROUNDUP(R15/N15,0)</f>
        <v>477</v>
      </c>
      <c r="T15" s="92">
        <f t="shared" si="4"/>
        <v>8</v>
      </c>
      <c r="U15" s="92">
        <f t="shared" si="5"/>
        <v>2.75</v>
      </c>
    </row>
    <row r="16" spans="1:21" ht="14.55" customHeight="1">
      <c r="A16" s="333"/>
      <c r="B16" s="106"/>
      <c r="C16" s="14" t="str">
        <f>'$_BOM_CYCLE'!F41</f>
        <v>ESTSAL002</v>
      </c>
      <c r="D16" s="406" t="s">
        <v>150</v>
      </c>
      <c r="E16" s="407"/>
      <c r="F16" s="407"/>
      <c r="G16" s="407"/>
      <c r="H16" s="407"/>
      <c r="I16" s="408"/>
      <c r="J16" s="76"/>
      <c r="K16" s="76">
        <f>'$_BOM_CYCLE'!K41</f>
        <v>6453.6082474226805</v>
      </c>
      <c r="L16" s="76">
        <f t="shared" si="0"/>
        <v>6453.6082474226805</v>
      </c>
      <c r="M16" s="74" t="str">
        <f>'$_DATA'!B66</f>
        <v>SPEC.</v>
      </c>
      <c r="N16" s="80">
        <f>'$_DATA'!J66</f>
        <v>12</v>
      </c>
      <c r="O16" s="90">
        <f t="shared" si="1"/>
        <v>538</v>
      </c>
      <c r="P16" s="91">
        <f>$L$16/($G$2/'$_DATA'!P42)</f>
        <v>2933.4582942830361</v>
      </c>
      <c r="Q16" s="91">
        <f>L16/$G$2*'$_DATA'!$Q$34</f>
        <v>880.03748828491098</v>
      </c>
      <c r="R16" s="91">
        <f t="shared" si="2"/>
        <v>3813.4957825679471</v>
      </c>
      <c r="S16" s="74">
        <f t="shared" si="3"/>
        <v>318</v>
      </c>
      <c r="T16" s="92">
        <f t="shared" si="4"/>
        <v>8</v>
      </c>
      <c r="U16" s="92">
        <f>L16/(0.5*P16+Q16)</f>
        <v>2.75</v>
      </c>
    </row>
    <row r="17" spans="1:30" ht="14.55" customHeight="1">
      <c r="A17" s="5"/>
      <c r="B17" s="5"/>
      <c r="C17" s="5"/>
      <c r="D17" s="185"/>
      <c r="E17" s="186"/>
      <c r="F17" s="186"/>
      <c r="G17" s="186"/>
      <c r="H17" s="186"/>
      <c r="I17" s="187"/>
      <c r="J17" s="5"/>
      <c r="K17" s="5"/>
      <c r="L17" s="108"/>
      <c r="O17" s="15"/>
      <c r="P17" s="15"/>
      <c r="Q17" s="111"/>
      <c r="R17" s="111"/>
      <c r="S17" s="113"/>
      <c r="T17" s="112"/>
      <c r="Z17" s="543" t="s">
        <v>28</v>
      </c>
      <c r="AA17" s="544"/>
      <c r="AB17" s="509"/>
      <c r="AC17" s="548" t="s">
        <v>29</v>
      </c>
      <c r="AD17" s="523" t="s">
        <v>30</v>
      </c>
    </row>
    <row r="18" spans="1:30" ht="36" customHeight="1">
      <c r="A18" s="331" t="s">
        <v>266</v>
      </c>
      <c r="B18" s="106"/>
      <c r="C18" s="14" t="str">
        <f>'$_BOM_CYCLE'!F4</f>
        <v>INTASS001</v>
      </c>
      <c r="D18" s="98" t="str">
        <f>'$_BOM_CYCLE'!I4</f>
        <v>COMPLETE FLAIL MOWERS L=1500</v>
      </c>
      <c r="E18" s="98"/>
      <c r="F18" s="98"/>
      <c r="G18" s="98"/>
      <c r="H18" s="98"/>
      <c r="I18" s="98"/>
      <c r="J18" s="76">
        <f>'$_BOM_CYCLE'!K4</f>
        <v>9389</v>
      </c>
      <c r="K18" s="76"/>
      <c r="L18" s="76">
        <f t="shared" si="0"/>
        <v>9389</v>
      </c>
      <c r="M18" s="74" t="str">
        <f>'$_DATA'!B45</f>
        <v>PALLET+BOXES</v>
      </c>
      <c r="N18" s="80">
        <f>'$_DATA'!J45</f>
        <v>1</v>
      </c>
      <c r="O18" s="90">
        <f t="shared" si="1"/>
        <v>9389</v>
      </c>
      <c r="P18" s="93">
        <f>'$_DATA'!S47*'$_DATA'!U16</f>
        <v>500</v>
      </c>
      <c r="Q18" s="91">
        <f>P18*$I$2</f>
        <v>100</v>
      </c>
      <c r="R18" s="91">
        <f t="shared" ref="R18:R30" si="6">P18+Q18</f>
        <v>600</v>
      </c>
      <c r="S18" s="74">
        <f>ROUNDUP(R18/N18,0)</f>
        <v>600</v>
      </c>
      <c r="T18" s="92">
        <f>(P18/2+Q18)/(L18/$G$2)</f>
        <v>0.82010863776760046</v>
      </c>
      <c r="U18" s="92">
        <f t="shared" si="5"/>
        <v>26.825714285714287</v>
      </c>
      <c r="Z18" s="545"/>
      <c r="AA18" s="546"/>
      <c r="AB18" s="547"/>
      <c r="AC18" s="332"/>
      <c r="AD18" s="524"/>
    </row>
    <row r="19" spans="1:30" ht="36" customHeight="1">
      <c r="A19" s="333"/>
      <c r="B19" s="106"/>
      <c r="C19" s="14" t="str">
        <f>'$_BOM_CYCLE'!F25</f>
        <v>INTASS002</v>
      </c>
      <c r="D19" s="98" t="str">
        <f>'$_BOM_CYCLE'!I25</f>
        <v>COMPLETE FLAIL MOWERS L=1750</v>
      </c>
      <c r="E19" s="98"/>
      <c r="F19" s="98"/>
      <c r="G19" s="98"/>
      <c r="H19" s="98"/>
      <c r="I19" s="98"/>
      <c r="J19" s="76"/>
      <c r="K19" s="76">
        <f>'$_BOM_CYCLE'!K25</f>
        <v>6260</v>
      </c>
      <c r="L19" s="76">
        <f t="shared" si="0"/>
        <v>6260</v>
      </c>
      <c r="M19" s="74" t="str">
        <f>'$_DATA'!B46</f>
        <v>PALLET+BOXES</v>
      </c>
      <c r="N19" s="80">
        <f>'$_DATA'!J46</f>
        <v>1</v>
      </c>
      <c r="O19" s="90">
        <f>ROUNDUP((L19/N19),0)</f>
        <v>6260</v>
      </c>
      <c r="P19" s="93">
        <f>'$_DATA'!S48*'$_DATA'!U16</f>
        <v>215</v>
      </c>
      <c r="Q19" s="91">
        <f>P19*$I$2</f>
        <v>43</v>
      </c>
      <c r="R19" s="91">
        <f t="shared" si="6"/>
        <v>258</v>
      </c>
      <c r="S19" s="74">
        <f>ROUNDUP(R19/N19,0)</f>
        <v>258</v>
      </c>
      <c r="T19" s="92">
        <f t="shared" si="4"/>
        <v>0.5289137380191693</v>
      </c>
      <c r="U19" s="92">
        <f t="shared" si="5"/>
        <v>41.59468438538206</v>
      </c>
      <c r="Z19" s="541"/>
      <c r="AA19" s="542"/>
      <c r="AB19" s="474"/>
      <c r="AC19" s="333"/>
      <c r="AD19" s="525"/>
    </row>
    <row r="20" spans="1:30" ht="14.55" customHeight="1">
      <c r="A20" s="99"/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108"/>
      <c r="M20" s="99"/>
      <c r="N20" s="99"/>
      <c r="O20" s="99"/>
      <c r="P20" s="99"/>
      <c r="Q20" s="111"/>
      <c r="R20" s="111"/>
      <c r="S20" s="113"/>
      <c r="T20" s="112"/>
      <c r="Z20" s="526" t="s">
        <v>37</v>
      </c>
      <c r="AA20" s="527"/>
      <c r="AB20" s="468"/>
      <c r="AC20" s="530">
        <v>10</v>
      </c>
      <c r="AD20" s="532">
        <v>3</v>
      </c>
    </row>
    <row r="21" spans="1:30" ht="14.55" customHeight="1">
      <c r="A21" s="331" t="s">
        <v>267</v>
      </c>
      <c r="B21" s="106"/>
      <c r="C21" s="14" t="str">
        <f>'$_BOM_CYCLE'!F6</f>
        <v>INTSAL001</v>
      </c>
      <c r="D21" s="98" t="str">
        <f>'$_BOM_CYCLE'!I6</f>
        <v xml:space="preserve">COMPLETE FLAIL MOWERS FRAME L=1500 </v>
      </c>
      <c r="E21" s="98"/>
      <c r="F21" s="98"/>
      <c r="G21" s="98"/>
      <c r="H21" s="98"/>
      <c r="I21" s="98"/>
      <c r="J21" s="76">
        <f>'$_BOM_CYCLE'!K6</f>
        <v>9389</v>
      </c>
      <c r="K21" s="76"/>
      <c r="L21" s="76">
        <f t="shared" si="0"/>
        <v>9389</v>
      </c>
      <c r="M21" s="74" t="str">
        <f>'$_DATA'!B47</f>
        <v>SPEC.</v>
      </c>
      <c r="N21" s="80">
        <f>'$_DATA'!J47</f>
        <v>4</v>
      </c>
      <c r="O21" s="90">
        <f>ROUNDUP((L21/N21),0)</f>
        <v>2348</v>
      </c>
      <c r="P21" s="93">
        <f>'$_DATA'!S49*'$_DATA'!U20</f>
        <v>485</v>
      </c>
      <c r="Q21" s="91">
        <f>$I$2*P21</f>
        <v>97</v>
      </c>
      <c r="R21" s="91">
        <f t="shared" si="6"/>
        <v>582</v>
      </c>
      <c r="S21" s="74">
        <f t="shared" ref="S21:S30" si="7">ROUNDUP(R21/N21,0)</f>
        <v>146</v>
      </c>
      <c r="T21" s="92">
        <f t="shared" si="4"/>
        <v>0.79550537863457238</v>
      </c>
      <c r="U21" s="92">
        <f t="shared" si="5"/>
        <v>27.65537555228277</v>
      </c>
      <c r="Z21" s="528"/>
      <c r="AA21" s="529"/>
      <c r="AB21" s="470"/>
      <c r="AC21" s="531"/>
      <c r="AD21" s="533"/>
    </row>
    <row r="22" spans="1:30" ht="14.55" customHeight="1">
      <c r="A22" s="332"/>
      <c r="B22" s="106"/>
      <c r="C22" s="14" t="str">
        <f>'$_BOM_CYCLE'!F27</f>
        <v>INTSAL002</v>
      </c>
      <c r="D22" s="98" t="str">
        <f>'$_BOM_CYCLE'!I27</f>
        <v xml:space="preserve">COMPLETE FLAIL MOWERS FRAME L=1750 </v>
      </c>
      <c r="E22" s="98"/>
      <c r="F22" s="98"/>
      <c r="G22" s="98"/>
      <c r="H22" s="98"/>
      <c r="I22" s="98"/>
      <c r="J22" s="76"/>
      <c r="K22" s="76">
        <f>'$_BOM_CYCLE'!K27</f>
        <v>6260</v>
      </c>
      <c r="L22" s="76">
        <f>K22+J22</f>
        <v>6260</v>
      </c>
      <c r="M22" s="74" t="str">
        <f>'$_DATA'!B48</f>
        <v>SPEC.</v>
      </c>
      <c r="N22" s="80">
        <f>'$_DATA'!J48</f>
        <v>4</v>
      </c>
      <c r="O22" s="90">
        <f t="shared" si="1"/>
        <v>1565</v>
      </c>
      <c r="P22" s="93">
        <f>'$_DATA'!S50*'$_DATA'!U20</f>
        <v>208.54999999999998</v>
      </c>
      <c r="Q22" s="91">
        <f t="shared" ref="Q22:Q30" si="8">$I$2*P22</f>
        <v>41.71</v>
      </c>
      <c r="R22" s="91">
        <f t="shared" si="6"/>
        <v>250.26</v>
      </c>
      <c r="S22" s="74">
        <f t="shared" si="7"/>
        <v>63</v>
      </c>
      <c r="T22" s="92">
        <f t="shared" si="4"/>
        <v>0.51304632587859422</v>
      </c>
      <c r="U22" s="92">
        <f t="shared" si="5"/>
        <v>42.881117923074292</v>
      </c>
      <c r="Z22" s="539" t="s">
        <v>45</v>
      </c>
      <c r="AA22" s="540"/>
      <c r="AB22" s="472"/>
      <c r="AC22" s="530">
        <v>3</v>
      </c>
      <c r="AD22" s="532">
        <v>1</v>
      </c>
    </row>
    <row r="23" spans="1:30" ht="14.55" customHeight="1">
      <c r="A23" s="332"/>
      <c r="B23" s="106"/>
      <c r="C23" s="14" t="str">
        <f>'$_BOM_CYCLE'!F8</f>
        <v>INTPSP001</v>
      </c>
      <c r="D23" s="98" t="str">
        <f>'$_BOM_CYCLE'!I8</f>
        <v>GUARD L=1500</v>
      </c>
      <c r="E23" s="98"/>
      <c r="F23" s="98"/>
      <c r="G23" s="98"/>
      <c r="H23" s="98"/>
      <c r="I23" s="98"/>
      <c r="J23" s="76">
        <f>'$_BOM_CYCLE'!K8</f>
        <v>9679.3814432989693</v>
      </c>
      <c r="K23" s="76"/>
      <c r="L23" s="76">
        <f t="shared" si="0"/>
        <v>9679.3814432989693</v>
      </c>
      <c r="M23" s="74" t="str">
        <f>'$_DATA'!B55</f>
        <v>PALLET</v>
      </c>
      <c r="N23" s="80">
        <f>'$_DATA'!J55</f>
        <v>25</v>
      </c>
      <c r="O23" s="90">
        <f t="shared" si="1"/>
        <v>388</v>
      </c>
      <c r="P23" s="93">
        <f>'$_DATA'!S51*'$_DATA'!U28</f>
        <v>495</v>
      </c>
      <c r="Q23" s="91">
        <f t="shared" si="8"/>
        <v>99</v>
      </c>
      <c r="R23" s="91">
        <f t="shared" si="6"/>
        <v>594</v>
      </c>
      <c r="S23" s="74">
        <f t="shared" si="7"/>
        <v>24</v>
      </c>
      <c r="T23" s="92">
        <f t="shared" si="4"/>
        <v>0.78755032484822662</v>
      </c>
      <c r="U23" s="92">
        <f t="shared" si="5"/>
        <v>27.934722780083604</v>
      </c>
      <c r="Z23" s="541"/>
      <c r="AA23" s="542"/>
      <c r="AB23" s="474"/>
      <c r="AC23" s="531"/>
      <c r="AD23" s="533"/>
    </row>
    <row r="24" spans="1:30" ht="14.55" customHeight="1">
      <c r="A24" s="332"/>
      <c r="B24" s="106"/>
      <c r="C24" s="14" t="str">
        <f>'$_MANUF_PARTS_BATCH'!C14</f>
        <v>INTPSP001-10</v>
      </c>
      <c r="D24" s="98" t="s">
        <v>268</v>
      </c>
      <c r="E24" s="98"/>
      <c r="F24" s="98"/>
      <c r="G24" s="98"/>
      <c r="H24" s="98"/>
      <c r="I24" s="98"/>
      <c r="J24" s="76">
        <f>'$_BOM_CYCLE'!L10</f>
        <v>9777.1529730292623</v>
      </c>
      <c r="K24" s="76"/>
      <c r="L24" s="76">
        <f t="shared" si="0"/>
        <v>9777.1529730292623</v>
      </c>
      <c r="M24" s="74" t="str">
        <f>'$_DATA'!B56</f>
        <v>PALLET</v>
      </c>
      <c r="N24" s="80">
        <f>'$_DATA'!J56</f>
        <v>25</v>
      </c>
      <c r="O24" s="90">
        <f t="shared" si="1"/>
        <v>392</v>
      </c>
      <c r="P24" s="93">
        <f>'$_DATA'!S52*'$_DATA'!U26</f>
        <v>490</v>
      </c>
      <c r="Q24" s="91">
        <f t="shared" si="8"/>
        <v>98</v>
      </c>
      <c r="R24" s="91">
        <f t="shared" si="6"/>
        <v>588</v>
      </c>
      <c r="S24" s="74">
        <f t="shared" si="7"/>
        <v>24</v>
      </c>
      <c r="T24" s="92">
        <f t="shared" si="4"/>
        <v>0.77179931835126203</v>
      </c>
      <c r="U24" s="92">
        <f t="shared" si="5"/>
        <v>28.504819163350618</v>
      </c>
      <c r="Z24" s="526" t="s">
        <v>49</v>
      </c>
      <c r="AA24" s="527"/>
      <c r="AB24" s="468"/>
      <c r="AC24" s="530">
        <v>10</v>
      </c>
      <c r="AD24" s="532">
        <v>3</v>
      </c>
    </row>
    <row r="25" spans="1:30" ht="14.55" customHeight="1">
      <c r="A25" s="332"/>
      <c r="B25" s="106"/>
      <c r="C25" s="14" t="str">
        <f>'$_BOM_CYCLE'!F29</f>
        <v>INTPSP002</v>
      </c>
      <c r="D25" s="98" t="str">
        <f>'$_BOM_CYCLE'!I29</f>
        <v>GUARD L=1750</v>
      </c>
      <c r="E25" s="98"/>
      <c r="F25" s="98"/>
      <c r="G25" s="98"/>
      <c r="H25" s="98"/>
      <c r="I25" s="98"/>
      <c r="J25" s="76"/>
      <c r="K25" s="76">
        <f>'$_BOM_CYCLE'!K29</f>
        <v>6453.6082474226805</v>
      </c>
      <c r="L25" s="76">
        <f t="shared" si="0"/>
        <v>6453.6082474226805</v>
      </c>
      <c r="M25" s="74" t="str">
        <f>'$_DATA'!B57</f>
        <v>PALLET</v>
      </c>
      <c r="N25" s="80">
        <f>'$_DATA'!J57</f>
        <v>25</v>
      </c>
      <c r="O25" s="90">
        <f t="shared" si="1"/>
        <v>259</v>
      </c>
      <c r="P25" s="93">
        <f>'$_DATA'!S53*'$_DATA'!U28</f>
        <v>212.85</v>
      </c>
      <c r="Q25" s="91">
        <f t="shared" si="8"/>
        <v>42.57</v>
      </c>
      <c r="R25" s="91">
        <f t="shared" si="6"/>
        <v>255.42</v>
      </c>
      <c r="S25" s="74">
        <f t="shared" si="7"/>
        <v>11</v>
      </c>
      <c r="T25" s="92">
        <f t="shared" si="4"/>
        <v>0.50791586261980837</v>
      </c>
      <c r="U25" s="92">
        <f t="shared" si="5"/>
        <v>43.314260528357863</v>
      </c>
      <c r="Z25" s="528"/>
      <c r="AA25" s="529"/>
      <c r="AB25" s="470"/>
      <c r="AC25" s="531"/>
      <c r="AD25" s="533"/>
    </row>
    <row r="26" spans="1:30" ht="14.55" customHeight="1">
      <c r="A26" s="332"/>
      <c r="B26" s="106"/>
      <c r="C26" s="14" t="str">
        <f>'$_MANUF_PARTS_BATCH'!C16</f>
        <v>INTPSP002-10</v>
      </c>
      <c r="D26" s="98" t="s">
        <v>269</v>
      </c>
      <c r="E26" s="98"/>
      <c r="F26" s="98"/>
      <c r="G26" s="98"/>
      <c r="H26" s="98"/>
      <c r="I26" s="98"/>
      <c r="J26" s="76"/>
      <c r="K26" s="76">
        <f>'$_BOM_CYCLE'!L31</f>
        <v>6651.8328668549584</v>
      </c>
      <c r="L26" s="76">
        <f t="shared" si="0"/>
        <v>6651.8328668549584</v>
      </c>
      <c r="M26" s="74" t="str">
        <f>'$_DATA'!B58</f>
        <v>PALLET</v>
      </c>
      <c r="N26" s="80">
        <f>'$_DATA'!J58</f>
        <v>25</v>
      </c>
      <c r="O26" s="90">
        <f t="shared" si="1"/>
        <v>267</v>
      </c>
      <c r="P26" s="93">
        <f>'$_DATA'!S54*'$_DATA'!U26</f>
        <v>210.7</v>
      </c>
      <c r="Q26" s="91">
        <f t="shared" si="8"/>
        <v>42.14</v>
      </c>
      <c r="R26" s="91">
        <f t="shared" si="6"/>
        <v>252.83999999999997</v>
      </c>
      <c r="S26" s="74">
        <f t="shared" si="7"/>
        <v>11</v>
      </c>
      <c r="T26" s="92">
        <f t="shared" si="4"/>
        <v>0.48780239446006396</v>
      </c>
      <c r="U26" s="92">
        <f t="shared" si="5"/>
        <v>45.100229621363873</v>
      </c>
      <c r="Z26" s="526" t="s">
        <v>56</v>
      </c>
      <c r="AA26" s="527"/>
      <c r="AB26" s="468"/>
      <c r="AC26" s="530">
        <v>5</v>
      </c>
      <c r="AD26" s="532">
        <v>1</v>
      </c>
    </row>
    <row r="27" spans="1:30" ht="14.55" customHeight="1">
      <c r="A27" s="332"/>
      <c r="B27" s="106"/>
      <c r="C27" s="14" t="str">
        <f>'$_BOM_CYCLE'!F12</f>
        <v>INTPSP003</v>
      </c>
      <c r="D27" s="98" t="str">
        <f>'$_BOM_CYCLE'!I12</f>
        <v>REINFORCEMENT BRACKETS</v>
      </c>
      <c r="E27" s="98"/>
      <c r="F27" s="98"/>
      <c r="G27" s="98"/>
      <c r="H27" s="98"/>
      <c r="I27" s="98"/>
      <c r="J27" s="76">
        <f>'$_BOM_CYCLE'!K12</f>
        <v>29038.14432989691</v>
      </c>
      <c r="K27" s="76">
        <f>'$_BOM_CYCLE'!K33</f>
        <v>32268.041237113401</v>
      </c>
      <c r="L27" s="76">
        <f t="shared" si="0"/>
        <v>61306.18556701031</v>
      </c>
      <c r="M27" s="74" t="str">
        <f>'$_DATA'!B59</f>
        <v>NORM.</v>
      </c>
      <c r="N27" s="80">
        <f>'$_DATA'!J59</f>
        <v>200</v>
      </c>
      <c r="O27" s="90">
        <f t="shared" si="1"/>
        <v>307</v>
      </c>
      <c r="P27" s="93">
        <f>'$_DATA'!S55*'$_DATA'!U28</f>
        <v>2970</v>
      </c>
      <c r="Q27" s="91">
        <f t="shared" si="8"/>
        <v>594</v>
      </c>
      <c r="R27" s="91">
        <f t="shared" si="6"/>
        <v>3564</v>
      </c>
      <c r="S27" s="74">
        <f t="shared" si="7"/>
        <v>18</v>
      </c>
      <c r="T27" s="92">
        <f t="shared" si="4"/>
        <v>0.74605848621924764</v>
      </c>
      <c r="U27" s="92">
        <f t="shared" si="5"/>
        <v>29.488304746036704</v>
      </c>
      <c r="Z27" s="528"/>
      <c r="AA27" s="529"/>
      <c r="AB27" s="470"/>
      <c r="AC27" s="531"/>
      <c r="AD27" s="533"/>
    </row>
    <row r="28" spans="1:30" ht="14.55" customHeight="1">
      <c r="A28" s="332"/>
      <c r="B28" s="106"/>
      <c r="C28" s="14" t="str">
        <f>'$_MANUF_PARTS_BATCH'!C18</f>
        <v>INTPSP002-10</v>
      </c>
      <c r="D28" s="98" t="s">
        <v>118</v>
      </c>
      <c r="E28" s="98"/>
      <c r="F28" s="98"/>
      <c r="G28" s="98"/>
      <c r="H28" s="98"/>
      <c r="I28" s="98"/>
      <c r="J28" s="76">
        <f>'$_BOM_CYCLE'!L14</f>
        <v>29930.060121518152</v>
      </c>
      <c r="K28" s="76">
        <f>'$_BOM_CYCLE'!L35</f>
        <v>33259.164334274792</v>
      </c>
      <c r="L28" s="76">
        <f t="shared" si="0"/>
        <v>63189.224455792944</v>
      </c>
      <c r="M28" s="74" t="str">
        <f>'$_DATA'!B60</f>
        <v>NORM.</v>
      </c>
      <c r="N28" s="80">
        <f>'$_DATA'!J60</f>
        <v>200</v>
      </c>
      <c r="O28" s="90">
        <f t="shared" si="1"/>
        <v>316</v>
      </c>
      <c r="P28" s="93">
        <f>'$_DATA'!S56*'$_DATA'!U26</f>
        <v>2940</v>
      </c>
      <c r="Q28" s="91">
        <f t="shared" si="8"/>
        <v>588</v>
      </c>
      <c r="R28" s="91">
        <f>P28+Q28</f>
        <v>3528</v>
      </c>
      <c r="S28" s="74">
        <f t="shared" si="7"/>
        <v>18</v>
      </c>
      <c r="T28" s="92">
        <f>(P28/2+Q28)/(L28/$G$2)</f>
        <v>0.71651457016496545</v>
      </c>
      <c r="U28" s="92">
        <f t="shared" si="5"/>
        <v>30.70419069766421</v>
      </c>
      <c r="Z28" s="526" t="s">
        <v>57</v>
      </c>
      <c r="AA28" s="527"/>
      <c r="AB28" s="468"/>
      <c r="AC28" s="530">
        <v>10</v>
      </c>
      <c r="AD28" s="532">
        <v>3</v>
      </c>
    </row>
    <row r="29" spans="1:30" ht="14.55" customHeight="1">
      <c r="A29" s="332"/>
      <c r="B29" s="106"/>
      <c r="C29" s="14" t="str">
        <f>'$_BOM_CYCLE'!F16</f>
        <v>INTPSP004</v>
      </c>
      <c r="D29" s="98" t="str">
        <f>'$_BOM_CYCLE'!I16</f>
        <v>TRACTOR HITCHS PLATES</v>
      </c>
      <c r="E29" s="98"/>
      <c r="F29" s="98"/>
      <c r="G29" s="98"/>
      <c r="H29" s="98"/>
      <c r="I29" s="98"/>
      <c r="J29" s="76">
        <f>'$_BOM_CYCLE'!K16</f>
        <v>19358.762886597939</v>
      </c>
      <c r="K29" s="76">
        <f>'$_BOM_CYCLE'!K37</f>
        <v>12907.216494845361</v>
      </c>
      <c r="L29" s="76">
        <f t="shared" si="0"/>
        <v>32265.9793814433</v>
      </c>
      <c r="M29" s="74" t="str">
        <f>'$_DATA'!B61</f>
        <v>NORM.</v>
      </c>
      <c r="N29" s="80">
        <f>'$_DATA'!J61</f>
        <v>200</v>
      </c>
      <c r="O29" s="90">
        <f t="shared" si="1"/>
        <v>162</v>
      </c>
      <c r="P29" s="93">
        <f>'$_DATA'!S57*'$_DATA'!U28</f>
        <v>1980</v>
      </c>
      <c r="Q29" s="91">
        <f t="shared" si="8"/>
        <v>396</v>
      </c>
      <c r="R29" s="91">
        <f>P29+Q29</f>
        <v>2376</v>
      </c>
      <c r="S29" s="74">
        <f t="shared" si="7"/>
        <v>12</v>
      </c>
      <c r="T29" s="92">
        <f>(P29/2+Q29)/(L29/$G$2)</f>
        <v>0.9450201290817305</v>
      </c>
      <c r="U29" s="92">
        <f t="shared" si="5"/>
        <v>23.279927403638744</v>
      </c>
      <c r="Z29" s="534"/>
      <c r="AA29" s="535"/>
      <c r="AB29" s="536"/>
      <c r="AC29" s="537"/>
      <c r="AD29" s="538"/>
    </row>
    <row r="30" spans="1:30" ht="14.55" customHeight="1">
      <c r="A30" s="333"/>
      <c r="B30" s="106"/>
      <c r="C30" s="14" t="str">
        <f>'$_MANUF_PARTS_BATCH'!C20</f>
        <v>INTPSP004-10</v>
      </c>
      <c r="D30" s="98" t="s">
        <v>270</v>
      </c>
      <c r="E30" s="98"/>
      <c r="F30" s="98"/>
      <c r="G30" s="98"/>
      <c r="H30" s="98"/>
      <c r="I30" s="98"/>
      <c r="J30" s="76">
        <f>'$_BOM_CYCLE'!L18</f>
        <v>19953.373414345431</v>
      </c>
      <c r="K30" s="76">
        <f>'$_BOM_CYCLE'!L39</f>
        <v>13303.665733709917</v>
      </c>
      <c r="L30" s="76">
        <f t="shared" si="0"/>
        <v>33257.039148055352</v>
      </c>
      <c r="M30" s="74" t="str">
        <f>'$_DATA'!B62</f>
        <v>NORM.</v>
      </c>
      <c r="N30" s="80">
        <f>'$_DATA'!J62</f>
        <v>200</v>
      </c>
      <c r="O30" s="90">
        <f>ROUNDUP((L30/N30),0)</f>
        <v>167</v>
      </c>
      <c r="P30" s="93">
        <f>'$_MANUF_PARTS_BATCH'!M20*'$_DATA'!U26</f>
        <v>1960</v>
      </c>
      <c r="Q30" s="91">
        <f t="shared" si="8"/>
        <v>392</v>
      </c>
      <c r="R30" s="91">
        <f t="shared" si="6"/>
        <v>2352</v>
      </c>
      <c r="S30" s="74">
        <f t="shared" si="7"/>
        <v>12</v>
      </c>
      <c r="T30" s="92">
        <f t="shared" si="4"/>
        <v>0.90759733197009396</v>
      </c>
      <c r="U30" s="92">
        <f t="shared" si="5"/>
        <v>24.239824451935387</v>
      </c>
    </row>
    <row r="31" spans="1:30">
      <c r="A31" s="5"/>
      <c r="B31" s="13"/>
      <c r="D31" s="442"/>
      <c r="E31" s="442"/>
      <c r="F31" s="442"/>
      <c r="G31" s="442"/>
      <c r="H31" s="442"/>
      <c r="I31" s="442"/>
      <c r="J31" s="2"/>
      <c r="K31" s="2"/>
      <c r="L31" s="2"/>
      <c r="M31" s="1"/>
    </row>
    <row r="32" spans="1:30">
      <c r="A32" s="5"/>
      <c r="B32" s="13"/>
      <c r="D32" s="442"/>
      <c r="E32" s="442"/>
      <c r="F32" s="442"/>
      <c r="G32" s="442"/>
      <c r="H32" s="442"/>
      <c r="I32" s="442"/>
      <c r="J32" s="2"/>
      <c r="K32" s="2"/>
      <c r="L32" s="2"/>
      <c r="M32" s="1"/>
    </row>
    <row r="33" spans="1:13">
      <c r="A33" s="5"/>
      <c r="B33" s="13"/>
      <c r="D33" s="442"/>
      <c r="E33" s="442"/>
      <c r="F33" s="442"/>
      <c r="G33" s="442"/>
      <c r="H33" s="442"/>
      <c r="I33" s="442"/>
      <c r="J33" s="2"/>
      <c r="K33" s="2"/>
      <c r="L33" s="2"/>
      <c r="M33" s="1"/>
    </row>
    <row r="34" spans="1:13">
      <c r="A34" s="5"/>
      <c r="B34" s="13"/>
      <c r="D34" s="442"/>
      <c r="E34" s="442"/>
      <c r="F34" s="442"/>
      <c r="G34" s="442"/>
      <c r="H34" s="442"/>
      <c r="I34" s="442"/>
      <c r="J34" s="2"/>
      <c r="K34" s="2"/>
      <c r="L34" s="2"/>
      <c r="M34" s="1"/>
    </row>
    <row r="35" spans="1:13">
      <c r="A35" s="5"/>
      <c r="B35" s="13"/>
      <c r="D35" s="442"/>
      <c r="E35" s="442"/>
      <c r="F35" s="442"/>
      <c r="G35" s="442"/>
      <c r="H35" s="442"/>
      <c r="I35" s="442"/>
      <c r="J35" s="2"/>
      <c r="K35" s="2"/>
      <c r="L35" s="2"/>
      <c r="M35" s="1"/>
    </row>
    <row r="36" spans="1:13">
      <c r="A36" s="5"/>
      <c r="B36" s="13"/>
      <c r="D36" s="442"/>
      <c r="E36" s="442"/>
      <c r="F36" s="442"/>
      <c r="G36" s="442"/>
      <c r="H36" s="442"/>
      <c r="I36" s="442"/>
      <c r="J36" s="2"/>
      <c r="K36" s="2"/>
      <c r="L36" s="2"/>
      <c r="M36" s="1"/>
    </row>
    <row r="37" spans="1:13">
      <c r="A37" s="5"/>
      <c r="B37" s="13"/>
      <c r="D37" s="442"/>
      <c r="E37" s="442"/>
      <c r="F37" s="442"/>
      <c r="G37" s="442"/>
      <c r="H37" s="442"/>
      <c r="I37" s="442"/>
      <c r="J37" s="2"/>
      <c r="K37" s="2"/>
      <c r="L37" s="2"/>
      <c r="M37" s="1"/>
    </row>
    <row r="38" spans="1:13">
      <c r="A38" s="5"/>
      <c r="B38" s="13"/>
      <c r="D38" s="442"/>
      <c r="E38" s="442"/>
      <c r="F38" s="442"/>
      <c r="G38" s="442"/>
      <c r="H38" s="442"/>
      <c r="I38" s="442"/>
      <c r="J38" s="2"/>
      <c r="K38" s="2"/>
      <c r="L38" s="2"/>
      <c r="M38" s="1"/>
    </row>
    <row r="39" spans="1:13">
      <c r="A39" s="5"/>
      <c r="B39" s="13"/>
      <c r="D39" s="442"/>
      <c r="E39" s="442"/>
      <c r="F39" s="442"/>
      <c r="G39" s="442"/>
      <c r="H39" s="442"/>
      <c r="I39" s="442"/>
      <c r="J39" s="2"/>
      <c r="K39" s="2"/>
      <c r="L39" s="2"/>
      <c r="M39" s="1"/>
    </row>
    <row r="40" spans="1:13">
      <c r="A40" s="5"/>
      <c r="B40" s="13"/>
      <c r="D40" s="442"/>
      <c r="E40" s="442"/>
      <c r="F40" s="442"/>
      <c r="G40" s="442"/>
      <c r="H40" s="442"/>
      <c r="I40" s="442"/>
      <c r="J40" s="2"/>
      <c r="K40" s="2"/>
      <c r="L40" s="2"/>
      <c r="M40" s="1"/>
    </row>
    <row r="41" spans="1:13">
      <c r="A41" s="5"/>
      <c r="B41" s="13"/>
      <c r="D41" s="442"/>
      <c r="E41" s="442"/>
      <c r="F41" s="442"/>
      <c r="G41" s="442"/>
      <c r="H41" s="442"/>
      <c r="I41" s="442"/>
      <c r="J41" s="2"/>
      <c r="K41" s="2"/>
      <c r="L41" s="2"/>
      <c r="M41" s="1"/>
    </row>
    <row r="42" spans="1:13">
      <c r="A42" s="5"/>
      <c r="B42" s="13"/>
      <c r="D42" s="442"/>
      <c r="E42" s="442"/>
      <c r="F42" s="442"/>
      <c r="G42" s="442"/>
      <c r="H42" s="442"/>
      <c r="I42" s="442"/>
      <c r="J42" s="2"/>
      <c r="K42" s="2"/>
      <c r="L42" s="2"/>
      <c r="M42" s="1"/>
    </row>
    <row r="43" spans="1:13">
      <c r="A43" s="5"/>
      <c r="B43" s="13"/>
      <c r="D43" s="442"/>
      <c r="E43" s="442"/>
      <c r="F43" s="442"/>
      <c r="G43" s="442"/>
      <c r="H43" s="442"/>
      <c r="I43" s="442"/>
      <c r="J43" s="2"/>
      <c r="K43" s="2"/>
      <c r="L43" s="2"/>
      <c r="M43" s="1"/>
    </row>
    <row r="44" spans="1:13">
      <c r="A44" s="5"/>
      <c r="B44" s="13"/>
      <c r="D44" s="442"/>
      <c r="E44" s="442"/>
      <c r="F44" s="442"/>
      <c r="G44" s="442"/>
      <c r="H44" s="442"/>
      <c r="I44" s="442"/>
      <c r="J44" s="2"/>
      <c r="K44" s="2"/>
      <c r="L44" s="2"/>
      <c r="M44" s="1"/>
    </row>
    <row r="45" spans="1:13">
      <c r="A45" s="5"/>
      <c r="B45" s="13"/>
      <c r="D45" s="442"/>
      <c r="E45" s="442"/>
      <c r="F45" s="442"/>
      <c r="G45" s="442"/>
      <c r="H45" s="442"/>
      <c r="I45" s="442"/>
      <c r="J45" s="2"/>
      <c r="K45" s="2"/>
      <c r="L45" s="2"/>
      <c r="M45" s="1"/>
    </row>
    <row r="46" spans="1:13">
      <c r="A46" s="5"/>
      <c r="B46" s="13"/>
      <c r="D46" s="442"/>
      <c r="E46" s="442"/>
      <c r="F46" s="442"/>
      <c r="G46" s="442"/>
      <c r="H46" s="442"/>
      <c r="I46" s="442"/>
      <c r="J46" s="2"/>
      <c r="K46" s="2"/>
      <c r="L46" s="2"/>
      <c r="M46" s="1"/>
    </row>
    <row r="47" spans="1:13">
      <c r="A47" s="5"/>
      <c r="B47" s="13"/>
      <c r="D47" s="442"/>
      <c r="E47" s="442"/>
      <c r="F47" s="442"/>
      <c r="G47" s="442"/>
      <c r="H47" s="442"/>
      <c r="I47" s="442"/>
      <c r="J47" s="2"/>
      <c r="K47" s="2"/>
      <c r="L47" s="2"/>
      <c r="M47" s="1"/>
    </row>
    <row r="48" spans="1:13">
      <c r="A48" s="5"/>
      <c r="B48" s="13"/>
      <c r="D48" s="442"/>
      <c r="E48" s="442"/>
      <c r="F48" s="442"/>
      <c r="G48" s="442"/>
      <c r="H48" s="442"/>
      <c r="I48" s="442"/>
      <c r="J48" s="2"/>
      <c r="K48" s="2"/>
      <c r="L48" s="2"/>
      <c r="M48" s="1"/>
    </row>
    <row r="49" spans="1:13">
      <c r="A49" s="5"/>
      <c r="B49" s="13"/>
      <c r="D49" s="442"/>
      <c r="E49" s="442"/>
      <c r="F49" s="442"/>
      <c r="G49" s="442"/>
      <c r="H49" s="442"/>
      <c r="I49" s="442"/>
      <c r="J49" s="2"/>
      <c r="K49" s="2"/>
      <c r="L49" s="2"/>
      <c r="M49" s="1"/>
    </row>
    <row r="50" spans="1:13">
      <c r="A50" s="5"/>
      <c r="B50" s="13"/>
      <c r="D50" s="442"/>
      <c r="E50" s="442"/>
      <c r="F50" s="442"/>
      <c r="G50" s="442"/>
      <c r="H50" s="442"/>
      <c r="I50" s="442"/>
      <c r="J50" s="2"/>
      <c r="K50" s="2"/>
      <c r="L50" s="2"/>
      <c r="M50" s="1"/>
    </row>
    <row r="51" spans="1:13">
      <c r="A51" s="5"/>
      <c r="B51" s="13"/>
      <c r="D51" s="442"/>
      <c r="E51" s="442"/>
      <c r="F51" s="442"/>
      <c r="G51" s="442"/>
      <c r="H51" s="442"/>
      <c r="I51" s="442"/>
      <c r="J51" s="2"/>
      <c r="K51" s="2"/>
      <c r="L51" s="2"/>
      <c r="M51" s="1"/>
    </row>
    <row r="52" spans="1:13">
      <c r="A52" s="5"/>
      <c r="B52" s="13"/>
      <c r="D52" s="442"/>
      <c r="E52" s="442"/>
      <c r="F52" s="442"/>
      <c r="G52" s="442"/>
      <c r="H52" s="442"/>
      <c r="I52" s="442"/>
      <c r="J52" s="2"/>
      <c r="K52" s="2"/>
      <c r="L52" s="2"/>
      <c r="M52" s="1"/>
    </row>
  </sheetData>
  <mergeCells count="76">
    <mergeCell ref="A6:A16"/>
    <mergeCell ref="A18:A19"/>
    <mergeCell ref="A21:A30"/>
    <mergeCell ref="Z26:AB27"/>
    <mergeCell ref="AC26:AC27"/>
    <mergeCell ref="Z17:AB19"/>
    <mergeCell ref="AC17:AC19"/>
    <mergeCell ref="D6:I6"/>
    <mergeCell ref="D7:I7"/>
    <mergeCell ref="D8:I8"/>
    <mergeCell ref="D9:I9"/>
    <mergeCell ref="D10:I10"/>
    <mergeCell ref="D11:I11"/>
    <mergeCell ref="D12:I12"/>
    <mergeCell ref="D13:I13"/>
    <mergeCell ref="D14:I14"/>
    <mergeCell ref="AD26:AD27"/>
    <mergeCell ref="Z28:AB29"/>
    <mergeCell ref="AC28:AC29"/>
    <mergeCell ref="AD28:AD29"/>
    <mergeCell ref="Z22:AB23"/>
    <mergeCell ref="AC22:AC23"/>
    <mergeCell ref="AD22:AD23"/>
    <mergeCell ref="Z24:AB25"/>
    <mergeCell ref="AC24:AC25"/>
    <mergeCell ref="AD24:AD25"/>
    <mergeCell ref="AD17:AD19"/>
    <mergeCell ref="Z20:AB21"/>
    <mergeCell ref="AC20:AC21"/>
    <mergeCell ref="AD20:AD21"/>
    <mergeCell ref="P1:Q1"/>
    <mergeCell ref="S4:S5"/>
    <mergeCell ref="P4:P5"/>
    <mergeCell ref="Q4:Q5"/>
    <mergeCell ref="R4:R5"/>
    <mergeCell ref="T4:T5"/>
    <mergeCell ref="U4:U5"/>
    <mergeCell ref="P2:U3"/>
    <mergeCell ref="D31:I31"/>
    <mergeCell ref="D32:I32"/>
    <mergeCell ref="D33:I33"/>
    <mergeCell ref="D34:I34"/>
    <mergeCell ref="D45:I45"/>
    <mergeCell ref="D43:I43"/>
    <mergeCell ref="D51:I51"/>
    <mergeCell ref="D52:I52"/>
    <mergeCell ref="D49:I49"/>
    <mergeCell ref="D50:I50"/>
    <mergeCell ref="D35:I35"/>
    <mergeCell ref="D36:I36"/>
    <mergeCell ref="D37:I37"/>
    <mergeCell ref="D38:I38"/>
    <mergeCell ref="D47:I47"/>
    <mergeCell ref="D48:I48"/>
    <mergeCell ref="D44:I44"/>
    <mergeCell ref="D46:I46"/>
    <mergeCell ref="D39:I39"/>
    <mergeCell ref="D40:I40"/>
    <mergeCell ref="D41:I41"/>
    <mergeCell ref="D42:I42"/>
    <mergeCell ref="E2:F2"/>
    <mergeCell ref="J2:O3"/>
    <mergeCell ref="O4:O5"/>
    <mergeCell ref="J4:K4"/>
    <mergeCell ref="L4:L5"/>
    <mergeCell ref="A1:C1"/>
    <mergeCell ref="A2:C2"/>
    <mergeCell ref="A3:C3"/>
    <mergeCell ref="C4:C5"/>
    <mergeCell ref="A4:B5"/>
    <mergeCell ref="D15:I15"/>
    <mergeCell ref="D16:I16"/>
    <mergeCell ref="M4:M5"/>
    <mergeCell ref="N4:N5"/>
    <mergeCell ref="E3:F3"/>
    <mergeCell ref="D4:I5"/>
  </mergeCells>
  <phoneticPr fontId="25" type="noConversion"/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0C619-478E-4D2E-A5A0-54B5178DDFCD}">
  <dimension ref="A1:D71"/>
  <sheetViews>
    <sheetView topLeftCell="C31" zoomScale="133" zoomScaleNormal="70" workbookViewId="0">
      <selection activeCell="P43" sqref="P43"/>
    </sheetView>
  </sheetViews>
  <sheetFormatPr defaultColWidth="8.796875" defaultRowHeight="14.25"/>
  <cols>
    <col min="1" max="1" width="51.6640625" bestFit="1" customWidth="1"/>
    <col min="2" max="2" width="12.1328125" bestFit="1" customWidth="1"/>
    <col min="3" max="3" width="18.6640625" customWidth="1"/>
    <col min="4" max="4" width="17.796875" customWidth="1"/>
    <col min="5" max="11" width="8.796875" customWidth="1"/>
  </cols>
  <sheetData>
    <row r="1" spans="1:4" ht="16.149999999999999" thickBot="1">
      <c r="A1" s="550" t="s">
        <v>271</v>
      </c>
      <c r="B1" s="550"/>
      <c r="C1" s="550"/>
      <c r="D1" s="550"/>
    </row>
    <row r="2" spans="1:4" ht="28.9" thickTop="1">
      <c r="A2" s="121" t="s">
        <v>272</v>
      </c>
      <c r="B2" s="122" t="s">
        <v>273</v>
      </c>
      <c r="C2" s="122" t="s">
        <v>274</v>
      </c>
      <c r="D2" s="123" t="s">
        <v>275</v>
      </c>
    </row>
    <row r="3" spans="1:4">
      <c r="A3" s="124" t="str">
        <f>'$_WARE_BUFFER'!D6</f>
        <v>METAL SHEET 1500x2000x3</v>
      </c>
      <c r="B3" s="40">
        <f>'$_WARE_BUFFER'!U6</f>
        <v>2.7500000000000004</v>
      </c>
      <c r="C3" s="40">
        <f>B3</f>
        <v>2.7500000000000004</v>
      </c>
      <c r="D3" s="128">
        <f t="shared" ref="D3:D25" si="0">C3/$C$25*100</f>
        <v>0.64169733012724872</v>
      </c>
    </row>
    <row r="4" spans="1:4">
      <c r="A4" s="124" t="str">
        <f>'$_WARE_BUFFER'!D8</f>
        <v>METAL SHEET 1000x2000x3</v>
      </c>
      <c r="B4" s="40">
        <f>'$_WARE_BUFFER'!U8</f>
        <v>2.75</v>
      </c>
      <c r="C4" s="40">
        <f>C3+B4</f>
        <v>5.5</v>
      </c>
      <c r="D4" s="128">
        <f t="shared" si="0"/>
        <v>1.2833946602544972</v>
      </c>
    </row>
    <row r="5" spans="1:4">
      <c r="A5" s="124" t="str">
        <f>'$_WARE_BUFFER'!D11</f>
        <v>DRIVE SHAFT L=1500</v>
      </c>
      <c r="B5" s="40">
        <f>'$_WARE_BUFFER'!U11</f>
        <v>2.75</v>
      </c>
      <c r="C5" s="40">
        <f t="shared" ref="C5:C25" si="1">C4+B5</f>
        <v>8.25</v>
      </c>
      <c r="D5" s="128">
        <f t="shared" si="0"/>
        <v>1.9250919903817461</v>
      </c>
    </row>
    <row r="6" spans="1:4">
      <c r="A6" s="124" t="str">
        <f>'$_WARE_BUFFER'!D15</f>
        <v>RAKE FOR FLAIL MOWERS L=1500</v>
      </c>
      <c r="B6" s="40">
        <f>'$_WARE_BUFFER'!U15</f>
        <v>2.75</v>
      </c>
      <c r="C6" s="40">
        <f t="shared" si="1"/>
        <v>11</v>
      </c>
      <c r="D6" s="128">
        <f t="shared" si="0"/>
        <v>2.5667893205089944</v>
      </c>
    </row>
    <row r="7" spans="1:4">
      <c r="A7" s="124" t="str">
        <f>'$_WARE_BUFFER'!D7</f>
        <v>METAL SHEET 1000x1500x3</v>
      </c>
      <c r="B7" s="40">
        <f>'$_WARE_BUFFER'!U7</f>
        <v>2.7500000000000004</v>
      </c>
      <c r="C7" s="40">
        <f t="shared" si="1"/>
        <v>13.75</v>
      </c>
      <c r="D7" s="128">
        <f t="shared" si="0"/>
        <v>3.2084866506362428</v>
      </c>
    </row>
    <row r="8" spans="1:4">
      <c r="A8" s="124" t="str">
        <f>'$_WARE_BUFFER'!D12</f>
        <v>DRIVE SHAFT L=1750</v>
      </c>
      <c r="B8" s="40">
        <f>'$_WARE_BUFFER'!U12</f>
        <v>2.7500000000000004</v>
      </c>
      <c r="C8" s="40">
        <f t="shared" si="1"/>
        <v>16.5</v>
      </c>
      <c r="D8" s="128">
        <f t="shared" si="0"/>
        <v>3.8501839807634921</v>
      </c>
    </row>
    <row r="9" spans="1:4">
      <c r="A9" s="124" t="str">
        <f>'$_WARE_BUFFER'!D16</f>
        <v>RAKE FOR FLAIL MOWERS L=1750</v>
      </c>
      <c r="B9" s="40">
        <f>'$_WARE_BUFFER'!U16</f>
        <v>2.75</v>
      </c>
      <c r="C9" s="40">
        <f t="shared" si="1"/>
        <v>19.25</v>
      </c>
      <c r="D9" s="128">
        <f t="shared" si="0"/>
        <v>4.4918813108907409</v>
      </c>
    </row>
    <row r="10" spans="1:4">
      <c r="A10" s="124" t="str">
        <f>'$_WARE_BUFFER'!D13</f>
        <v>COMPLETE SHAFT WITH HAMMERS  FOR FLAIL MOWERS L=1500</v>
      </c>
      <c r="B10" s="40">
        <f>'$_WARE_BUFFER'!U13</f>
        <v>4.0000000000000009</v>
      </c>
      <c r="C10" s="40">
        <f t="shared" si="1"/>
        <v>23.25</v>
      </c>
      <c r="D10" s="128">
        <f t="shared" si="0"/>
        <v>5.4252592456212838</v>
      </c>
    </row>
    <row r="11" spans="1:4">
      <c r="A11" s="124" t="str">
        <f>'$_WARE_BUFFER'!D14</f>
        <v>COMPLETE SHAFT WITH HAMMERS FOR FLAIL MOWERS L=1750</v>
      </c>
      <c r="B11" s="40">
        <f>'$_WARE_BUFFER'!U14</f>
        <v>4</v>
      </c>
      <c r="C11" s="40">
        <f t="shared" si="1"/>
        <v>27.25</v>
      </c>
      <c r="D11" s="128">
        <f t="shared" si="0"/>
        <v>6.3586371803518267</v>
      </c>
    </row>
    <row r="12" spans="1:4">
      <c r="A12" s="124" t="str">
        <f>'$_WARE_BUFFER'!D29</f>
        <v>TRACTOR HITCHS PLATES</v>
      </c>
      <c r="B12" s="40">
        <f>'$_WARE_BUFFER'!U29</f>
        <v>23.279927403638744</v>
      </c>
      <c r="C12" s="40">
        <f t="shared" si="1"/>
        <v>50.529927403638744</v>
      </c>
      <c r="D12" s="128">
        <f t="shared" si="0"/>
        <v>11.790879820523156</v>
      </c>
    </row>
    <row r="13" spans="1:4">
      <c r="A13" s="124" t="str">
        <f>'$_WARE_BUFFER'!D30</f>
        <v>STAMPED TRACTOR HITCHS BRACKETS</v>
      </c>
      <c r="B13" s="40">
        <f>'$_WARE_BUFFER'!U30</f>
        <v>24.239824451935387</v>
      </c>
      <c r="C13" s="40">
        <f t="shared" si="1"/>
        <v>74.769751855574128</v>
      </c>
      <c r="D13" s="128">
        <f t="shared" si="0"/>
        <v>17.447109141817748</v>
      </c>
    </row>
    <row r="14" spans="1:4">
      <c r="A14" s="124" t="str">
        <f>'$_WARE_BUFFER'!D18</f>
        <v>COMPLETE FLAIL MOWERS L=1500</v>
      </c>
      <c r="B14" s="40">
        <f>'$_WARE_BUFFER'!U18</f>
        <v>26.825714285714287</v>
      </c>
      <c r="C14" s="40">
        <f t="shared" si="1"/>
        <v>101.59546614128841</v>
      </c>
      <c r="D14" s="128">
        <f t="shared" si="0"/>
        <v>23.706741591235659</v>
      </c>
    </row>
    <row r="15" spans="1:4">
      <c r="A15" s="124" t="str">
        <f>'$_WARE_BUFFER'!D21</f>
        <v xml:space="preserve">COMPLETE FLAIL MOWERS FRAME L=1500 </v>
      </c>
      <c r="B15" s="40">
        <f>'$_WARE_BUFFER'!U21</f>
        <v>27.65537555228277</v>
      </c>
      <c r="C15" s="40">
        <f t="shared" si="1"/>
        <v>129.25084169357118</v>
      </c>
      <c r="D15" s="128">
        <f t="shared" si="0"/>
        <v>30.159970920532469</v>
      </c>
    </row>
    <row r="16" spans="1:4">
      <c r="A16" s="124" t="str">
        <f>'$_WARE_BUFFER'!D23</f>
        <v>GUARD L=1500</v>
      </c>
      <c r="B16" s="40">
        <f>'$_WARE_BUFFER'!U23</f>
        <v>27.934722780083604</v>
      </c>
      <c r="C16" s="40">
        <f t="shared" si="1"/>
        <v>157.18556447365478</v>
      </c>
      <c r="D16" s="128">
        <f t="shared" si="0"/>
        <v>36.678384384468643</v>
      </c>
    </row>
    <row r="17" spans="1:4">
      <c r="A17" s="124" t="str">
        <f>'$_WARE_BUFFER'!D24</f>
        <v>STAMPED GUARD  L=1500</v>
      </c>
      <c r="B17" s="40">
        <f>'$_WARE_BUFFER'!U24</f>
        <v>28.504819163350618</v>
      </c>
      <c r="C17" s="40">
        <f t="shared" si="1"/>
        <v>185.6903836370054</v>
      </c>
      <c r="D17" s="128">
        <f t="shared" si="0"/>
        <v>43.329826694607597</v>
      </c>
    </row>
    <row r="18" spans="1:4">
      <c r="A18" s="124" t="str">
        <f>'$_WARE_BUFFER'!D27</f>
        <v>REINFORCEMENT BRACKETS</v>
      </c>
      <c r="B18" s="40">
        <f>'$_WARE_BUFFER'!U27</f>
        <v>29.488304746036704</v>
      </c>
      <c r="C18" s="40">
        <f t="shared" si="1"/>
        <v>215.1786883830421</v>
      </c>
      <c r="D18" s="128">
        <f t="shared" si="0"/>
        <v>50.210759940247755</v>
      </c>
    </row>
    <row r="19" spans="1:4">
      <c r="A19" s="124" t="str">
        <f>'$_WARE_BUFFER'!D28</f>
        <v>STAMPED REINFORCEMENT BRACKETS</v>
      </c>
      <c r="B19" s="40">
        <f>'$_WARE_BUFFER'!U28</f>
        <v>30.70419069766421</v>
      </c>
      <c r="C19" s="40">
        <f t="shared" si="1"/>
        <v>245.88287908070632</v>
      </c>
      <c r="D19" s="128">
        <f t="shared" si="0"/>
        <v>57.375413465487398</v>
      </c>
    </row>
    <row r="20" spans="1:4">
      <c r="A20" s="124" t="str">
        <f>'$_WARE_BUFFER'!D19</f>
        <v>COMPLETE FLAIL MOWERS L=1750</v>
      </c>
      <c r="B20" s="40">
        <f>'$_WARE_BUFFER'!U19</f>
        <v>41.59468438538206</v>
      </c>
      <c r="C20" s="40">
        <f t="shared" si="1"/>
        <v>287.47756346608838</v>
      </c>
      <c r="D20" s="128">
        <f t="shared" si="0"/>
        <v>67.081303617336573</v>
      </c>
    </row>
    <row r="21" spans="1:4">
      <c r="A21" s="124" t="str">
        <f>'$_WARE_BUFFER'!D22</f>
        <v xml:space="preserve">COMPLETE FLAIL MOWERS FRAME L=1750 </v>
      </c>
      <c r="B21" s="40">
        <f>'$_WARE_BUFFER'!U22</f>
        <v>42.881117923074292</v>
      </c>
      <c r="C21" s="40">
        <f t="shared" si="1"/>
        <v>330.35868138916265</v>
      </c>
      <c r="D21" s="128">
        <f t="shared" si="0"/>
        <v>77.087375938830561</v>
      </c>
    </row>
    <row r="22" spans="1:4">
      <c r="A22" s="124" t="str">
        <f>'$_WARE_BUFFER'!D25</f>
        <v>GUARD L=1750</v>
      </c>
      <c r="B22" s="40">
        <f>'$_WARE_BUFFER'!U25</f>
        <v>43.314260528357863</v>
      </c>
      <c r="C22" s="40">
        <f t="shared" si="1"/>
        <v>373.67294191752052</v>
      </c>
      <c r="D22" s="128">
        <f t="shared" si="0"/>
        <v>87.19451969791541</v>
      </c>
    </row>
    <row r="23" spans="1:4">
      <c r="A23" s="124" t="str">
        <f>'$_WARE_BUFFER'!D26</f>
        <v>STAMPED GUARD  L=1750</v>
      </c>
      <c r="B23" s="40">
        <f>'$_WARE_BUFFER'!U26</f>
        <v>45.100229621363873</v>
      </c>
      <c r="C23" s="40">
        <f t="shared" si="1"/>
        <v>418.77317153888441</v>
      </c>
      <c r="D23" s="128">
        <f t="shared" si="0"/>
        <v>97.71840949288088</v>
      </c>
    </row>
    <row r="24" spans="1:4">
      <c r="A24" s="124" t="str">
        <f>'$_WARE_BUFFER'!D9</f>
        <v>CONICAL TOOTHED WHEEL</v>
      </c>
      <c r="B24" s="40">
        <f>'$_WARE_BUFFER'!U9</f>
        <v>4.8888888888888884</v>
      </c>
      <c r="C24" s="40">
        <f t="shared" si="1"/>
        <v>423.66206042777333</v>
      </c>
      <c r="D24" s="128">
        <f t="shared" si="0"/>
        <v>98.85920474644044</v>
      </c>
    </row>
    <row r="25" spans="1:4" ht="14.65" thickBot="1">
      <c r="A25" s="167" t="str">
        <f>'$_WARE_BUFFER'!D10</f>
        <v>CYLINDRICAL TOOTHED WHEEL</v>
      </c>
      <c r="B25" s="168">
        <f>'$_WARE_BUFFER'!U10</f>
        <v>4.8888888888888884</v>
      </c>
      <c r="C25" s="168">
        <f t="shared" si="1"/>
        <v>428.55094931666224</v>
      </c>
      <c r="D25" s="169">
        <f t="shared" si="0"/>
        <v>100</v>
      </c>
    </row>
    <row r="26" spans="1:4" ht="14.65" thickTop="1"/>
    <row r="29" spans="1:4" ht="16.149999999999999" thickBot="1">
      <c r="A29" s="549" t="s">
        <v>276</v>
      </c>
      <c r="B29" s="549"/>
      <c r="C29" s="549"/>
      <c r="D29" s="549"/>
    </row>
    <row r="30" spans="1:4" ht="28.9" thickTop="1">
      <c r="A30" s="121" t="s">
        <v>272</v>
      </c>
      <c r="B30" s="122" t="s">
        <v>273</v>
      </c>
      <c r="C30" s="122" t="s">
        <v>274</v>
      </c>
      <c r="D30" s="123" t="s">
        <v>275</v>
      </c>
    </row>
    <row r="31" spans="1:4">
      <c r="A31" s="124" t="str">
        <f>'$_WARE_BUFFER'!D6</f>
        <v>METAL SHEET 1500x2000x3</v>
      </c>
      <c r="B31" s="14">
        <f>'$_WARE_BUFFER'!U6</f>
        <v>2.7500000000000004</v>
      </c>
      <c r="C31" s="40">
        <f>B31</f>
        <v>2.7500000000000004</v>
      </c>
      <c r="D31" s="40">
        <f>C31/$C$41*100</f>
        <v>7.4268567141785455</v>
      </c>
    </row>
    <row r="32" spans="1:4">
      <c r="A32" s="124" t="str">
        <f>'$_WARE_BUFFER'!D7</f>
        <v>METAL SHEET 1000x1500x3</v>
      </c>
      <c r="B32" s="14">
        <f>'$_WARE_BUFFER'!U7</f>
        <v>2.7500000000000004</v>
      </c>
      <c r="C32" s="40">
        <f>C31+B32</f>
        <v>5.5000000000000009</v>
      </c>
      <c r="D32" s="40">
        <f t="shared" ref="D32:D41" si="2">C32/$C$41*100</f>
        <v>14.853713428357091</v>
      </c>
    </row>
    <row r="33" spans="1:4">
      <c r="A33" s="124" t="str">
        <f>'$_WARE_BUFFER'!D8</f>
        <v>METAL SHEET 1000x2000x3</v>
      </c>
      <c r="B33" s="14">
        <f>'$_WARE_BUFFER'!U8</f>
        <v>2.75</v>
      </c>
      <c r="C33" s="40">
        <f>C32+B33</f>
        <v>8.25</v>
      </c>
      <c r="D33" s="40">
        <f t="shared" si="2"/>
        <v>22.280570142535634</v>
      </c>
    </row>
    <row r="34" spans="1:4">
      <c r="A34" s="124" t="str">
        <f>'$_WARE_BUFFER'!D9</f>
        <v>CONICAL TOOTHED WHEEL</v>
      </c>
      <c r="B34" s="40">
        <f>'$_WARE_BUFFER'!U9</f>
        <v>4.8888888888888884</v>
      </c>
      <c r="C34" s="40">
        <f>C33+B34</f>
        <v>13.138888888888889</v>
      </c>
      <c r="D34" s="40">
        <f t="shared" si="2"/>
        <v>35.483870967741936</v>
      </c>
    </row>
    <row r="35" spans="1:4">
      <c r="A35" s="124" t="str">
        <f>'$_WARE_BUFFER'!D10</f>
        <v>CYLINDRICAL TOOTHED WHEEL</v>
      </c>
      <c r="B35" s="40">
        <f>'$_WARE_BUFFER'!U10</f>
        <v>4.8888888888888884</v>
      </c>
      <c r="C35" s="40">
        <f>C34+B35</f>
        <v>18.027777777777779</v>
      </c>
      <c r="D35" s="40">
        <f t="shared" si="2"/>
        <v>48.687171792948234</v>
      </c>
    </row>
    <row r="36" spans="1:4">
      <c r="A36" s="124" t="str">
        <f>'$_WARE_BUFFER'!D11</f>
        <v>DRIVE SHAFT L=1500</v>
      </c>
      <c r="B36" s="14">
        <f>'$_WARE_BUFFER'!U11</f>
        <v>2.75</v>
      </c>
      <c r="C36" s="40">
        <f t="shared" ref="C36:C41" si="3">C35+B36</f>
        <v>20.777777777777779</v>
      </c>
      <c r="D36" s="40">
        <f t="shared" si="2"/>
        <v>56.114028507126775</v>
      </c>
    </row>
    <row r="37" spans="1:4">
      <c r="A37" s="124" t="str">
        <f>'$_WARE_BUFFER'!D12</f>
        <v>DRIVE SHAFT L=1750</v>
      </c>
      <c r="B37" s="14">
        <f>'$_WARE_BUFFER'!U12</f>
        <v>2.7500000000000004</v>
      </c>
      <c r="C37" s="40">
        <f>C36+B37</f>
        <v>23.527777777777779</v>
      </c>
      <c r="D37" s="40">
        <f t="shared" si="2"/>
        <v>63.540885221305331</v>
      </c>
    </row>
    <row r="38" spans="1:4">
      <c r="A38" s="124" t="str">
        <f>'$_WARE_BUFFER'!D13</f>
        <v>COMPLETE SHAFT WITH HAMMERS  FOR FLAIL MOWERS L=1500</v>
      </c>
      <c r="B38" s="14">
        <f>'$_WARE_BUFFER'!U13</f>
        <v>4.0000000000000009</v>
      </c>
      <c r="C38" s="40">
        <f t="shared" si="3"/>
        <v>27.527777777777779</v>
      </c>
      <c r="D38" s="40">
        <f t="shared" si="2"/>
        <v>74.343585896474124</v>
      </c>
    </row>
    <row r="39" spans="1:4">
      <c r="A39" s="124" t="str">
        <f>'$_WARE_BUFFER'!D14</f>
        <v>COMPLETE SHAFT WITH HAMMERS FOR FLAIL MOWERS L=1750</v>
      </c>
      <c r="B39" s="14">
        <f>'$_WARE_BUFFER'!U14</f>
        <v>4</v>
      </c>
      <c r="C39" s="40">
        <f t="shared" si="3"/>
        <v>31.527777777777779</v>
      </c>
      <c r="D39" s="40">
        <f t="shared" si="2"/>
        <v>85.146286571642918</v>
      </c>
    </row>
    <row r="40" spans="1:4">
      <c r="A40" s="124" t="str">
        <f>'$_WARE_BUFFER'!D15</f>
        <v>RAKE FOR FLAIL MOWERS L=1500</v>
      </c>
      <c r="B40" s="14">
        <f>'$_WARE_BUFFER'!U15</f>
        <v>2.75</v>
      </c>
      <c r="C40" s="40">
        <f t="shared" si="3"/>
        <v>34.277777777777779</v>
      </c>
      <c r="D40" s="40">
        <f t="shared" si="2"/>
        <v>92.573143285821459</v>
      </c>
    </row>
    <row r="41" spans="1:4">
      <c r="A41" s="124" t="str">
        <f>'$_WARE_BUFFER'!D16</f>
        <v>RAKE FOR FLAIL MOWERS L=1750</v>
      </c>
      <c r="B41" s="14">
        <f>'$_WARE_BUFFER'!U16</f>
        <v>2.75</v>
      </c>
      <c r="C41" s="40">
        <f t="shared" si="3"/>
        <v>37.027777777777779</v>
      </c>
      <c r="D41" s="40">
        <f t="shared" si="2"/>
        <v>100</v>
      </c>
    </row>
    <row r="42" spans="1:4">
      <c r="B42" s="4"/>
    </row>
    <row r="45" spans="1:4" ht="16.149999999999999" thickBot="1">
      <c r="A45" s="549" t="s">
        <v>277</v>
      </c>
      <c r="B45" s="549"/>
      <c r="C45" s="549"/>
      <c r="D45" s="549"/>
    </row>
    <row r="46" spans="1:4" ht="28.9" thickTop="1">
      <c r="A46" s="121" t="s">
        <v>272</v>
      </c>
      <c r="B46" s="122" t="s">
        <v>273</v>
      </c>
      <c r="C46" s="122" t="s">
        <v>274</v>
      </c>
      <c r="D46" s="123" t="s">
        <v>275</v>
      </c>
    </row>
    <row r="47" spans="1:4">
      <c r="A47" s="14" t="str">
        <f>'$_WARE_BUFFER'!D24</f>
        <v>STAMPED GUARD  L=1500</v>
      </c>
      <c r="B47" s="40">
        <f>'$_WARE_BUFFER'!U24</f>
        <v>28.504819163350618</v>
      </c>
      <c r="C47" s="40">
        <f>B47</f>
        <v>28.504819163350618</v>
      </c>
      <c r="D47" s="14">
        <f>C47/$C$50*100</f>
        <v>22.174272056866933</v>
      </c>
    </row>
    <row r="48" spans="1:4">
      <c r="A48" s="14" t="str">
        <f>'$_WARE_BUFFER'!D26</f>
        <v>STAMPED GUARD  L=1750</v>
      </c>
      <c r="B48" s="40">
        <f>'$_WARE_BUFFER'!U26</f>
        <v>45.100229621363873</v>
      </c>
      <c r="C48" s="40">
        <f>C47+B48</f>
        <v>73.605048784714484</v>
      </c>
      <c r="D48" s="14">
        <f t="shared" ref="D48:D50" si="4">C48/$C$50*100</f>
        <v>57.258331202104387</v>
      </c>
    </row>
    <row r="49" spans="1:4">
      <c r="A49" s="14" t="str">
        <f>'$_WARE_BUFFER'!D28</f>
        <v>STAMPED REINFORCEMENT BRACKETS</v>
      </c>
      <c r="B49" s="40">
        <f>'$_WARE_BUFFER'!U28</f>
        <v>30.70419069766421</v>
      </c>
      <c r="C49" s="40">
        <f t="shared" ref="C49:C50" si="5">C48+B49</f>
        <v>104.3092394823787</v>
      </c>
      <c r="D49" s="14">
        <f t="shared" si="4"/>
        <v>81.143523173127548</v>
      </c>
    </row>
    <row r="50" spans="1:4">
      <c r="A50" s="14" t="str">
        <f>'$_WARE_BUFFER'!D30</f>
        <v>STAMPED TRACTOR HITCHS BRACKETS</v>
      </c>
      <c r="B50" s="40">
        <f>'$_WARE_BUFFER'!U30</f>
        <v>24.239824451935387</v>
      </c>
      <c r="C50" s="40">
        <f t="shared" si="5"/>
        <v>128.54906393431409</v>
      </c>
      <c r="D50" s="14">
        <f t="shared" si="4"/>
        <v>100</v>
      </c>
    </row>
    <row r="54" spans="1:4" ht="16.149999999999999" thickBot="1">
      <c r="A54" s="549" t="s">
        <v>278</v>
      </c>
      <c r="B54" s="549"/>
      <c r="C54" s="549"/>
      <c r="D54" s="549"/>
    </row>
    <row r="55" spans="1:4" ht="28.9" thickTop="1">
      <c r="A55" s="121" t="s">
        <v>272</v>
      </c>
      <c r="B55" s="122" t="s">
        <v>273</v>
      </c>
      <c r="C55" s="122" t="s">
        <v>274</v>
      </c>
      <c r="D55" s="123" t="s">
        <v>275</v>
      </c>
    </row>
    <row r="56" spans="1:4">
      <c r="A56" s="14" t="str">
        <f>'$_WARE_BUFFER'!D23</f>
        <v>GUARD L=1500</v>
      </c>
      <c r="B56" s="14">
        <f>'$_WARE_BUFFER'!U23</f>
        <v>27.934722780083604</v>
      </c>
      <c r="C56" s="14">
        <f>B56</f>
        <v>27.934722780083604</v>
      </c>
      <c r="D56" s="14">
        <f>C56/$C$59*100</f>
        <v>22.524875015854327</v>
      </c>
    </row>
    <row r="57" spans="1:4">
      <c r="A57" s="14" t="str">
        <f>'$_WARE_BUFFER'!D25</f>
        <v>GUARD L=1750</v>
      </c>
      <c r="B57" s="14">
        <f>'$_WARE_BUFFER'!U25</f>
        <v>43.314260528357863</v>
      </c>
      <c r="C57" s="14">
        <f>C56+B57</f>
        <v>71.248983308441467</v>
      </c>
      <c r="D57" s="14">
        <f t="shared" ref="D57:D59" si="6">C57/$C$59*100</f>
        <v>57.450881351632731</v>
      </c>
    </row>
    <row r="58" spans="1:4">
      <c r="A58" s="14" t="str">
        <f>'$_WARE_BUFFER'!D27</f>
        <v>REINFORCEMENT BRACKETS</v>
      </c>
      <c r="B58" s="14">
        <f>'$_WARE_BUFFER'!U27</f>
        <v>29.488304746036704</v>
      </c>
      <c r="C58" s="14">
        <f t="shared" ref="C58:C59" si="7">C57+B58</f>
        <v>100.73728805447817</v>
      </c>
      <c r="D58" s="14">
        <f t="shared" si="6"/>
        <v>81.228471129880489</v>
      </c>
    </row>
    <row r="59" spans="1:4">
      <c r="A59" s="14" t="str">
        <f>'$_WARE_BUFFER'!D29</f>
        <v>TRACTOR HITCHS PLATES</v>
      </c>
      <c r="B59" s="14">
        <f>'$_WARE_BUFFER'!U29</f>
        <v>23.279927403638744</v>
      </c>
      <c r="C59" s="14">
        <f t="shared" si="7"/>
        <v>124.01721545811691</v>
      </c>
      <c r="D59" s="14">
        <f t="shared" si="6"/>
        <v>100</v>
      </c>
    </row>
    <row r="68" spans="1:4" ht="16.149999999999999" thickBot="1">
      <c r="A68" s="549" t="s">
        <v>279</v>
      </c>
      <c r="B68" s="549"/>
      <c r="C68" s="549"/>
      <c r="D68" s="549"/>
    </row>
    <row r="69" spans="1:4" ht="28.9" thickTop="1">
      <c r="A69" s="121" t="s">
        <v>272</v>
      </c>
      <c r="B69" s="122" t="s">
        <v>273</v>
      </c>
      <c r="C69" s="122" t="s">
        <v>274</v>
      </c>
      <c r="D69" s="123" t="s">
        <v>275</v>
      </c>
    </row>
    <row r="70" spans="1:4">
      <c r="A70" s="14" t="str">
        <f>'$_WARE_BUFFER'!D21</f>
        <v xml:space="preserve">COMPLETE FLAIL MOWERS FRAME L=1500 </v>
      </c>
      <c r="B70" s="14">
        <f>'$_WARE_BUFFER'!U21</f>
        <v>27.65537555228277</v>
      </c>
      <c r="C70" s="14">
        <f>B70</f>
        <v>27.65537555228277</v>
      </c>
      <c r="D70" s="14">
        <f>C70/C71*100</f>
        <v>39.207187924566412</v>
      </c>
    </row>
    <row r="71" spans="1:4">
      <c r="A71" s="14" t="str">
        <f>'$_WARE_BUFFER'!D22</f>
        <v xml:space="preserve">COMPLETE FLAIL MOWERS FRAME L=1750 </v>
      </c>
      <c r="B71" s="14">
        <f>'$_WARE_BUFFER'!U22</f>
        <v>42.881117923074292</v>
      </c>
      <c r="C71" s="14">
        <f>C70+B71</f>
        <v>70.536493475357062</v>
      </c>
      <c r="D71" s="14">
        <f>C71/C71*100</f>
        <v>100</v>
      </c>
    </row>
  </sheetData>
  <sortState xmlns:xlrd2="http://schemas.microsoft.com/office/spreadsheetml/2017/richdata2" ref="A3:D25">
    <sortCondition ref="B3:B25"/>
  </sortState>
  <mergeCells count="5">
    <mergeCell ref="A54:D54"/>
    <mergeCell ref="A68:D68"/>
    <mergeCell ref="A45:D45"/>
    <mergeCell ref="A1:D1"/>
    <mergeCell ref="A29:D29"/>
  </mergeCells>
  <phoneticPr fontId="25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092AB-CE4B-452F-81AD-5105FE2E8026}">
  <dimension ref="A1:W30"/>
  <sheetViews>
    <sheetView topLeftCell="I1" zoomScale="87" workbookViewId="0">
      <selection activeCell="E21" sqref="E21"/>
    </sheetView>
  </sheetViews>
  <sheetFormatPr defaultColWidth="8.796875" defaultRowHeight="14.25"/>
  <cols>
    <col min="3" max="3" width="15.6640625" customWidth="1"/>
    <col min="12" max="12" width="7.6640625" customWidth="1"/>
    <col min="13" max="13" width="13" customWidth="1"/>
    <col min="22" max="22" width="9.1328125" bestFit="1" customWidth="1"/>
  </cols>
  <sheetData>
    <row r="1" spans="1:23">
      <c r="A1" s="344" t="s">
        <v>177</v>
      </c>
      <c r="B1" s="344"/>
      <c r="C1" s="344"/>
      <c r="D1" s="42">
        <f>D2+D3</f>
        <v>15649</v>
      </c>
      <c r="E1" s="25" t="s">
        <v>178</v>
      </c>
      <c r="F1" s="42">
        <f>D1/22</f>
        <v>711.31818181818187</v>
      </c>
      <c r="G1" s="10" t="s">
        <v>179</v>
      </c>
      <c r="H1" s="9">
        <f>'$_DATA'!M8</f>
        <v>330</v>
      </c>
      <c r="I1" s="10" t="s">
        <v>11</v>
      </c>
      <c r="J1" s="1"/>
      <c r="P1" s="345"/>
      <c r="Q1" s="345"/>
      <c r="R1" s="16"/>
      <c r="S1" s="12"/>
      <c r="T1" s="12"/>
    </row>
    <row r="2" spans="1:23" ht="28.5">
      <c r="A2" s="344" t="s">
        <v>191</v>
      </c>
      <c r="B2" s="344"/>
      <c r="C2" s="344"/>
      <c r="D2" s="42">
        <f>'$_BOM_CYCLE'!K4</f>
        <v>9389</v>
      </c>
      <c r="E2" s="346" t="s">
        <v>192</v>
      </c>
      <c r="F2" s="346"/>
      <c r="G2" s="9">
        <v>22</v>
      </c>
      <c r="H2" s="48" t="s">
        <v>256</v>
      </c>
      <c r="I2" s="43">
        <v>0.2</v>
      </c>
      <c r="J2" s="347" t="s">
        <v>257</v>
      </c>
      <c r="K2" s="343"/>
      <c r="L2" s="343"/>
      <c r="M2" s="343"/>
      <c r="N2" s="343"/>
      <c r="O2" s="343"/>
      <c r="P2" s="348" t="s">
        <v>258</v>
      </c>
      <c r="Q2" s="349"/>
      <c r="R2" s="349"/>
      <c r="S2" s="349"/>
      <c r="T2" s="349"/>
      <c r="U2" s="350"/>
    </row>
    <row r="3" spans="1:23" ht="14.55" customHeight="1">
      <c r="A3" s="344" t="s">
        <v>193</v>
      </c>
      <c r="B3" s="344"/>
      <c r="C3" s="344"/>
      <c r="D3" s="42">
        <f>'$_BOM_CYCLE'!K25</f>
        <v>6260</v>
      </c>
      <c r="E3" s="346" t="s">
        <v>259</v>
      </c>
      <c r="F3" s="346"/>
      <c r="G3" s="9">
        <v>15</v>
      </c>
      <c r="H3" s="14"/>
      <c r="I3" s="30"/>
      <c r="J3" s="343"/>
      <c r="K3" s="343"/>
      <c r="L3" s="343"/>
      <c r="M3" s="343"/>
      <c r="N3" s="343"/>
      <c r="O3" s="343"/>
      <c r="P3" s="351"/>
      <c r="Q3" s="352"/>
      <c r="R3" s="352"/>
      <c r="S3" s="352"/>
      <c r="T3" s="352"/>
      <c r="U3" s="353"/>
    </row>
    <row r="4" spans="1:23" ht="14.55" customHeight="1">
      <c r="A4" s="342"/>
      <c r="B4" s="342"/>
      <c r="C4" s="343" t="s">
        <v>125</v>
      </c>
      <c r="D4" s="343" t="s">
        <v>126</v>
      </c>
      <c r="E4" s="343"/>
      <c r="F4" s="343"/>
      <c r="G4" s="343"/>
      <c r="H4" s="343"/>
      <c r="I4" s="343"/>
      <c r="J4" s="341" t="s">
        <v>194</v>
      </c>
      <c r="K4" s="341"/>
      <c r="L4" s="335" t="s">
        <v>195</v>
      </c>
      <c r="M4" s="334" t="s">
        <v>32</v>
      </c>
      <c r="N4" s="335" t="s">
        <v>260</v>
      </c>
      <c r="O4" s="340" t="s">
        <v>261</v>
      </c>
      <c r="P4" s="334" t="s">
        <v>262</v>
      </c>
      <c r="Q4" s="334" t="s">
        <v>256</v>
      </c>
      <c r="R4" s="334" t="s">
        <v>195</v>
      </c>
      <c r="S4" s="340" t="s">
        <v>261</v>
      </c>
      <c r="T4" s="330" t="s">
        <v>263</v>
      </c>
      <c r="U4" s="330" t="s">
        <v>264</v>
      </c>
      <c r="V4" s="338" t="s">
        <v>280</v>
      </c>
      <c r="W4" s="336" t="s">
        <v>281</v>
      </c>
    </row>
    <row r="5" spans="1:23" ht="14.55" customHeight="1">
      <c r="A5" s="342"/>
      <c r="B5" s="342"/>
      <c r="C5" s="343"/>
      <c r="D5" s="343"/>
      <c r="E5" s="343"/>
      <c r="F5" s="343"/>
      <c r="G5" s="343"/>
      <c r="H5" s="343"/>
      <c r="I5" s="343"/>
      <c r="J5" s="31" t="s">
        <v>196</v>
      </c>
      <c r="K5" s="31" t="s">
        <v>197</v>
      </c>
      <c r="L5" s="335"/>
      <c r="M5" s="335"/>
      <c r="N5" s="335"/>
      <c r="O5" s="341"/>
      <c r="P5" s="334"/>
      <c r="Q5" s="334"/>
      <c r="R5" s="334"/>
      <c r="S5" s="341"/>
      <c r="T5" s="330"/>
      <c r="U5" s="330"/>
      <c r="V5" s="339"/>
      <c r="W5" s="337"/>
    </row>
    <row r="6" spans="1:23" ht="14.55" customHeight="1">
      <c r="A6" s="331" t="s">
        <v>265</v>
      </c>
      <c r="B6" s="106"/>
      <c r="C6" s="14" t="str">
        <f>'$_BOM_CYCLE'!F11</f>
        <v>ESTLAM001</v>
      </c>
      <c r="D6" s="323" t="str">
        <f>'$_BOM_CYCLE'!I11</f>
        <v>METAL SHEET 1500x2000x3</v>
      </c>
      <c r="E6" s="324"/>
      <c r="F6" s="324"/>
      <c r="G6" s="324"/>
      <c r="H6" s="324"/>
      <c r="I6" s="325"/>
      <c r="J6" s="238">
        <f>'$_BOM_CYCLE'!K32</f>
        <v>1330.3665733709918</v>
      </c>
      <c r="K6" s="238">
        <f>'$_BOM_CYCLE'!K32</f>
        <v>1330.3665733709918</v>
      </c>
      <c r="L6" s="238">
        <f t="shared" ref="L6:L16" si="0">K6+J6</f>
        <v>2660.7331467419835</v>
      </c>
      <c r="M6" s="37" t="str">
        <f>'$_DATA'!B35</f>
        <v>PALLET</v>
      </c>
      <c r="N6" s="239">
        <f>'$_DATA'!J35</f>
        <v>25</v>
      </c>
      <c r="O6" s="240">
        <f t="shared" ref="O6:O16" si="1">ROUNDUP((L6/N6),0)</f>
        <v>107</v>
      </c>
      <c r="P6" s="241">
        <f>('$_BOM_CYCLE'!K11+'$_BOM_CYCLE'!K32)/$G$2*$V$6</f>
        <v>1493.5441672622019</v>
      </c>
      <c r="Q6" s="241">
        <f>L6/22*W$6</f>
        <v>362.82724728299775</v>
      </c>
      <c r="R6" s="241">
        <f t="shared" ref="R6:R16" si="2">P6+Q6</f>
        <v>1856.3714145451995</v>
      </c>
      <c r="S6" s="37">
        <f t="shared" ref="S6:S16" si="3">ROUNDUP(R6/N6,0)</f>
        <v>75</v>
      </c>
      <c r="T6" s="249">
        <f t="shared" ref="T6:T16" si="4">(P6/2+Q6)/(L6/$G$2)</f>
        <v>9.174608626198081</v>
      </c>
      <c r="U6" s="249">
        <f t="shared" ref="U6:U16" si="5">L6/(0.5*P6+Q6)</f>
        <v>2.3979224505750611</v>
      </c>
      <c r="V6" s="326">
        <v>10</v>
      </c>
      <c r="W6" s="328">
        <v>3</v>
      </c>
    </row>
    <row r="7" spans="1:23" ht="14.55" customHeight="1">
      <c r="A7" s="332"/>
      <c r="B7" s="106"/>
      <c r="C7" s="14" t="str">
        <f>'$_BOM_CYCLE'!F15</f>
        <v>ESTLAM002</v>
      </c>
      <c r="D7" s="323" t="str">
        <f>'$_BOM_CYCLE'!I15</f>
        <v>METAL SHEET 1000x1500x3</v>
      </c>
      <c r="E7" s="324"/>
      <c r="F7" s="324"/>
      <c r="G7" s="324"/>
      <c r="H7" s="324"/>
      <c r="I7" s="325"/>
      <c r="J7" s="238"/>
      <c r="K7" s="238">
        <f>'$_BOM_CYCLE'!K36</f>
        <v>1662.9582167137396</v>
      </c>
      <c r="L7" s="238">
        <f t="shared" si="0"/>
        <v>1662.9582167137396</v>
      </c>
      <c r="M7" s="37" t="str">
        <f>'$_DATA'!B36</f>
        <v>PALLET</v>
      </c>
      <c r="N7" s="239">
        <f>'$_DATA'!J36</f>
        <v>25</v>
      </c>
      <c r="O7" s="240">
        <f t="shared" si="1"/>
        <v>67</v>
      </c>
      <c r="P7" s="241">
        <f>('$_BOM_CYCLE'!K15+'$_BOM_CYCLE'!K36)/$G$2*$V$6</f>
        <v>1436.118737631658</v>
      </c>
      <c r="Q7" s="241">
        <f>L7/22*W$6</f>
        <v>226.76702955187358</v>
      </c>
      <c r="R7" s="241">
        <f t="shared" si="2"/>
        <v>1662.8857671835315</v>
      </c>
      <c r="S7" s="37">
        <f t="shared" si="3"/>
        <v>67</v>
      </c>
      <c r="T7" s="249">
        <f t="shared" si="4"/>
        <v>12.499520766773164</v>
      </c>
      <c r="U7" s="249">
        <f t="shared" si="5"/>
        <v>1.7600674786253785</v>
      </c>
      <c r="V7" s="326"/>
      <c r="W7" s="328"/>
    </row>
    <row r="8" spans="1:23" ht="14.55" customHeight="1">
      <c r="A8" s="332"/>
      <c r="B8" s="106"/>
      <c r="C8" s="14" t="str">
        <f>'$_BOM_CYCLE'!F19</f>
        <v>ESTLAM003</v>
      </c>
      <c r="D8" s="323" t="str">
        <f>'$_BOM_CYCLE'!I19</f>
        <v>METAL SHEET 1000x2000x3</v>
      </c>
      <c r="E8" s="324"/>
      <c r="F8" s="324"/>
      <c r="G8" s="324"/>
      <c r="H8" s="324"/>
      <c r="I8" s="325"/>
      <c r="J8" s="238">
        <f>'$_BOM_CYCLE'!K19</f>
        <v>4988.3433535863578</v>
      </c>
      <c r="K8" s="238">
        <f>'$_BOM_CYCLE'!K40</f>
        <v>3325.9164334274792</v>
      </c>
      <c r="L8" s="238">
        <f t="shared" si="0"/>
        <v>8314.2597870138379</v>
      </c>
      <c r="M8" s="37" t="str">
        <f>'$_DATA'!B37</f>
        <v>PALLET</v>
      </c>
      <c r="N8" s="239">
        <f>'$_DATA'!J37</f>
        <v>25</v>
      </c>
      <c r="O8" s="240">
        <f t="shared" si="1"/>
        <v>333</v>
      </c>
      <c r="P8" s="241">
        <f>('$_BOM_CYCLE'!K19+'$_BOM_CYCLE'!K40)/$G$2*$V$6</f>
        <v>3779.2089940971987</v>
      </c>
      <c r="Q8" s="241">
        <f>L8/22*W6</f>
        <v>1133.7626982291597</v>
      </c>
      <c r="R8" s="241">
        <f t="shared" si="2"/>
        <v>4912.9716923263586</v>
      </c>
      <c r="S8" s="37">
        <f t="shared" si="3"/>
        <v>197</v>
      </c>
      <c r="T8" s="249">
        <f t="shared" si="4"/>
        <v>8</v>
      </c>
      <c r="U8" s="249">
        <f t="shared" si="5"/>
        <v>2.75</v>
      </c>
      <c r="V8" s="327"/>
      <c r="W8" s="329"/>
    </row>
    <row r="9" spans="1:23" ht="14.55" customHeight="1">
      <c r="A9" s="332"/>
      <c r="B9" s="106"/>
      <c r="C9" s="14" t="str">
        <f>'$_BOM_CYCLE'!F22</f>
        <v>ESTING001</v>
      </c>
      <c r="D9" s="323" t="s">
        <v>143</v>
      </c>
      <c r="E9" s="324"/>
      <c r="F9" s="324"/>
      <c r="G9" s="324"/>
      <c r="H9" s="324"/>
      <c r="I9" s="325"/>
      <c r="J9" s="238">
        <f>'$_BOM_CYCLE'!K22</f>
        <v>19358.762886597939</v>
      </c>
      <c r="K9" s="238">
        <f>'$_BOM_CYCLE'!K43</f>
        <v>12520</v>
      </c>
      <c r="L9" s="238">
        <f t="shared" si="0"/>
        <v>31878.762886597939</v>
      </c>
      <c r="M9" s="37" t="str">
        <f>'$_DATA'!B39</f>
        <v>NORM.</v>
      </c>
      <c r="N9" s="239">
        <f>'$_DATA'!J39</f>
        <v>200</v>
      </c>
      <c r="O9" s="240">
        <f t="shared" si="1"/>
        <v>160</v>
      </c>
      <c r="P9" s="241">
        <f>('$_BOM_CYCLE'!K22+'$_BOM_CYCLE'!K43)/$G$2*$V$9</f>
        <v>4347.1040299906281</v>
      </c>
      <c r="Q9" s="241">
        <f>L9/22*W9</f>
        <v>1449.0346766635428</v>
      </c>
      <c r="R9" s="241">
        <f t="shared" si="2"/>
        <v>5796.1387066541711</v>
      </c>
      <c r="S9" s="37">
        <f t="shared" si="3"/>
        <v>29</v>
      </c>
      <c r="T9" s="249">
        <f t="shared" si="4"/>
        <v>2.4999999999999996</v>
      </c>
      <c r="U9" s="249">
        <f t="shared" si="5"/>
        <v>8.8000000000000007</v>
      </c>
      <c r="V9" s="326">
        <v>3</v>
      </c>
      <c r="W9" s="328">
        <v>1</v>
      </c>
    </row>
    <row r="10" spans="1:23" ht="14.55" customHeight="1">
      <c r="A10" s="332"/>
      <c r="B10" s="106"/>
      <c r="C10" s="14" t="str">
        <f>'$_BOM_CYCLE'!F23</f>
        <v>ESTING002</v>
      </c>
      <c r="D10" s="323" t="s">
        <v>144</v>
      </c>
      <c r="E10" s="324"/>
      <c r="F10" s="324"/>
      <c r="G10" s="324"/>
      <c r="H10" s="324"/>
      <c r="I10" s="325"/>
      <c r="J10" s="238">
        <f>'$_BOM_CYCLE'!K23</f>
        <v>29038.14432989691</v>
      </c>
      <c r="K10" s="238">
        <f>'$_BOM_CYCLE'!K44</f>
        <v>18780</v>
      </c>
      <c r="L10" s="238">
        <f t="shared" si="0"/>
        <v>47818.14432989691</v>
      </c>
      <c r="M10" s="37" t="str">
        <f>'$_DATA'!B40</f>
        <v>NORM.</v>
      </c>
      <c r="N10" s="239">
        <f>'$_DATA'!J40</f>
        <v>200</v>
      </c>
      <c r="O10" s="240">
        <f t="shared" si="1"/>
        <v>240</v>
      </c>
      <c r="P10" s="241">
        <f>('$_BOM_CYCLE'!K23+'$_BOM_CYCLE'!K44)/$G$2*$V$9</f>
        <v>6520.6560449859426</v>
      </c>
      <c r="Q10" s="241">
        <f>L10/22*W$9</f>
        <v>2173.552014995314</v>
      </c>
      <c r="R10" s="241">
        <f t="shared" si="2"/>
        <v>8694.2080599812562</v>
      </c>
      <c r="S10" s="37">
        <f t="shared" si="3"/>
        <v>44</v>
      </c>
      <c r="T10" s="249">
        <f t="shared" si="4"/>
        <v>2.5</v>
      </c>
      <c r="U10" s="249">
        <f t="shared" si="5"/>
        <v>8.8000000000000007</v>
      </c>
      <c r="V10" s="327"/>
      <c r="W10" s="329"/>
    </row>
    <row r="11" spans="1:23" ht="14.55" customHeight="1">
      <c r="A11" s="332"/>
      <c r="B11" s="106"/>
      <c r="C11" s="14" t="str">
        <f>'$_BOM_CYCLE'!F21</f>
        <v>ESTALB001</v>
      </c>
      <c r="D11" s="323" t="s">
        <v>89</v>
      </c>
      <c r="E11" s="324"/>
      <c r="F11" s="324"/>
      <c r="G11" s="324"/>
      <c r="H11" s="324"/>
      <c r="I11" s="325"/>
      <c r="J11" s="238">
        <f>'$_BOM_CYCLE'!K21</f>
        <v>9679.3814432989693</v>
      </c>
      <c r="K11" s="238"/>
      <c r="L11" s="238">
        <f t="shared" si="0"/>
        <v>9679.3814432989693</v>
      </c>
      <c r="M11" s="37" t="str">
        <f>'$_DATA'!B51</f>
        <v>NORM.</v>
      </c>
      <c r="N11" s="239">
        <f>'$_DATA'!J51</f>
        <v>50</v>
      </c>
      <c r="O11" s="240">
        <f t="shared" si="1"/>
        <v>194</v>
      </c>
      <c r="P11" s="241">
        <f>('$_BOM_CYCLE'!K21)/$G$2*$V$11</f>
        <v>4399.7188378631672</v>
      </c>
      <c r="Q11" s="241">
        <f>L11/22*W$11</f>
        <v>1319.9156513589503</v>
      </c>
      <c r="R11" s="241">
        <f t="shared" si="2"/>
        <v>5719.6344892221177</v>
      </c>
      <c r="S11" s="37">
        <f t="shared" si="3"/>
        <v>115</v>
      </c>
      <c r="T11" s="249">
        <f t="shared" si="4"/>
        <v>8</v>
      </c>
      <c r="U11" s="249">
        <f t="shared" si="5"/>
        <v>2.75</v>
      </c>
      <c r="V11" s="326">
        <v>10</v>
      </c>
      <c r="W11" s="328">
        <v>3</v>
      </c>
    </row>
    <row r="12" spans="1:23" ht="14.55" customHeight="1">
      <c r="A12" s="332"/>
      <c r="B12" s="106"/>
      <c r="C12" s="14" t="str">
        <f>'$_BOM_CYCLE'!F42</f>
        <v>ESTALB002</v>
      </c>
      <c r="D12" s="323" t="s">
        <v>95</v>
      </c>
      <c r="E12" s="324"/>
      <c r="F12" s="324"/>
      <c r="G12" s="324"/>
      <c r="H12" s="324"/>
      <c r="I12" s="325"/>
      <c r="J12" s="238"/>
      <c r="K12" s="238">
        <f>'$_BOM_CYCLE'!K42</f>
        <v>6260</v>
      </c>
      <c r="L12" s="238">
        <f t="shared" si="0"/>
        <v>6260</v>
      </c>
      <c r="M12" s="37" t="str">
        <f>'$_DATA'!B52</f>
        <v>NORM.</v>
      </c>
      <c r="N12" s="239">
        <f>'$_DATA'!J52</f>
        <v>50</v>
      </c>
      <c r="O12" s="240">
        <f t="shared" si="1"/>
        <v>126</v>
      </c>
      <c r="P12" s="241">
        <f>('$_BOM_CYCLE'!K42)/$G$2*$V$11</f>
        <v>2845.4545454545455</v>
      </c>
      <c r="Q12" s="241">
        <f>L12/22*W$11</f>
        <v>853.63636363636374</v>
      </c>
      <c r="R12" s="241">
        <f t="shared" si="2"/>
        <v>3699.090909090909</v>
      </c>
      <c r="S12" s="37">
        <f t="shared" si="3"/>
        <v>74</v>
      </c>
      <c r="T12" s="249">
        <f t="shared" si="4"/>
        <v>8</v>
      </c>
      <c r="U12" s="249">
        <f t="shared" si="5"/>
        <v>2.75</v>
      </c>
      <c r="V12" s="327"/>
      <c r="W12" s="329"/>
    </row>
    <row r="13" spans="1:23">
      <c r="A13" s="332"/>
      <c r="B13" s="106"/>
      <c r="C13" s="14" t="str">
        <f>'$_BOM_CYCLE'!F24</f>
        <v>ESTASS003</v>
      </c>
      <c r="D13" s="98" t="str">
        <f>'$_BOM_CYCLE'!I24</f>
        <v>COMPLETE SHAFT WITH HAMMERS  FOR FLAIL MOWERS L=1500</v>
      </c>
      <c r="E13" s="98"/>
      <c r="F13" s="98"/>
      <c r="G13" s="98"/>
      <c r="H13" s="98"/>
      <c r="I13" s="98"/>
      <c r="J13" s="238">
        <f>'$_BOM_CYCLE'!K24</f>
        <v>9679.3814432989693</v>
      </c>
      <c r="K13" s="238"/>
      <c r="L13" s="238">
        <f t="shared" si="0"/>
        <v>9679.3814432989693</v>
      </c>
      <c r="M13" s="37" t="str">
        <f>'$_DATA'!B49</f>
        <v>SPEC.</v>
      </c>
      <c r="N13" s="239">
        <f>'$_DATA'!J49</f>
        <v>12</v>
      </c>
      <c r="O13" s="240">
        <f t="shared" si="1"/>
        <v>807</v>
      </c>
      <c r="P13" s="241">
        <f>('$_BOM_CYCLE'!K24)/$G$2*$V$13</f>
        <v>2199.8594189315836</v>
      </c>
      <c r="Q13" s="241">
        <f>L13/22*W13</f>
        <v>439.97188378631677</v>
      </c>
      <c r="R13" s="241">
        <f t="shared" si="2"/>
        <v>2639.8313027179001</v>
      </c>
      <c r="S13" s="37">
        <f t="shared" si="3"/>
        <v>220</v>
      </c>
      <c r="T13" s="249">
        <f t="shared" si="4"/>
        <v>3.4999999999999996</v>
      </c>
      <c r="U13" s="249">
        <f t="shared" si="5"/>
        <v>6.2857142857142865</v>
      </c>
      <c r="V13" s="326">
        <v>5</v>
      </c>
      <c r="W13" s="328">
        <v>1</v>
      </c>
    </row>
    <row r="14" spans="1:23">
      <c r="A14" s="332"/>
      <c r="B14" s="106"/>
      <c r="C14" s="14" t="str">
        <f>'$_BOM_CYCLE'!F45</f>
        <v>ESTASS004</v>
      </c>
      <c r="D14" s="98" t="str">
        <f>'$_BOM_CYCLE'!I45</f>
        <v>COMPLETE SHAFT WITH HAMMERS FOR FLAIL MOWERS L=1750</v>
      </c>
      <c r="E14" s="98"/>
      <c r="F14" s="98"/>
      <c r="G14" s="98"/>
      <c r="H14" s="98"/>
      <c r="I14" s="98"/>
      <c r="J14" s="238"/>
      <c r="K14" s="238">
        <f>'$_BOM_CYCLE'!K45</f>
        <v>6260</v>
      </c>
      <c r="L14" s="238">
        <f t="shared" si="0"/>
        <v>6260</v>
      </c>
      <c r="M14" s="37" t="str">
        <f>'$_DATA'!B50</f>
        <v>SPEC.</v>
      </c>
      <c r="N14" s="239">
        <f>'$_DATA'!J50</f>
        <v>12</v>
      </c>
      <c r="O14" s="240">
        <f t="shared" si="1"/>
        <v>522</v>
      </c>
      <c r="P14" s="241">
        <f>('$_BOM_CYCLE'!K45)/$G$2*$V$13</f>
        <v>1422.7272727272727</v>
      </c>
      <c r="Q14" s="241">
        <f>L14/22*W13</f>
        <v>284.54545454545456</v>
      </c>
      <c r="R14" s="241">
        <f t="shared" si="2"/>
        <v>1707.2727272727273</v>
      </c>
      <c r="S14" s="37">
        <f t="shared" si="3"/>
        <v>143</v>
      </c>
      <c r="T14" s="249">
        <f t="shared" si="4"/>
        <v>3.5</v>
      </c>
      <c r="U14" s="249">
        <f t="shared" si="5"/>
        <v>6.2857142857142856</v>
      </c>
      <c r="V14" s="327"/>
      <c r="W14" s="329"/>
    </row>
    <row r="15" spans="1:23" ht="14.55" customHeight="1">
      <c r="A15" s="332"/>
      <c r="B15" s="106"/>
      <c r="C15" s="14" t="str">
        <f>'$_BOM_CYCLE'!F20</f>
        <v>ESTSAL001</v>
      </c>
      <c r="D15" s="323" t="s">
        <v>141</v>
      </c>
      <c r="E15" s="324"/>
      <c r="F15" s="324"/>
      <c r="G15" s="324"/>
      <c r="H15" s="324"/>
      <c r="I15" s="325"/>
      <c r="J15" s="238">
        <f>'$_BOM_CYCLE'!K20</f>
        <v>9679.3814432989693</v>
      </c>
      <c r="K15" s="238"/>
      <c r="L15" s="238">
        <f t="shared" si="0"/>
        <v>9679.3814432989693</v>
      </c>
      <c r="M15" s="37" t="str">
        <f>'$_DATA'!B65</f>
        <v>SPEC.</v>
      </c>
      <c r="N15" s="239">
        <f>'$_DATA'!J65</f>
        <v>12</v>
      </c>
      <c r="O15" s="240">
        <f t="shared" si="1"/>
        <v>807</v>
      </c>
      <c r="P15" s="241">
        <f>'$_BOM_CYCLE'!K20*10/22</f>
        <v>4399.7188378631681</v>
      </c>
      <c r="Q15" s="241">
        <f>L15/22*W15</f>
        <v>1319.9156513589503</v>
      </c>
      <c r="R15" s="241">
        <f t="shared" si="2"/>
        <v>5719.6344892221186</v>
      </c>
      <c r="S15" s="37">
        <f t="shared" si="3"/>
        <v>477</v>
      </c>
      <c r="T15" s="249">
        <f t="shared" si="4"/>
        <v>8</v>
      </c>
      <c r="U15" s="249">
        <f t="shared" si="5"/>
        <v>2.75</v>
      </c>
      <c r="V15" s="319">
        <v>10</v>
      </c>
      <c r="W15" s="321">
        <v>3</v>
      </c>
    </row>
    <row r="16" spans="1:23" ht="14.55" customHeight="1">
      <c r="A16" s="333"/>
      <c r="B16" s="106"/>
      <c r="C16" s="14" t="str">
        <f>'$_BOM_CYCLE'!F41</f>
        <v>ESTSAL002</v>
      </c>
      <c r="D16" s="323" t="s">
        <v>150</v>
      </c>
      <c r="E16" s="324"/>
      <c r="F16" s="324"/>
      <c r="G16" s="324"/>
      <c r="H16" s="324"/>
      <c r="I16" s="325"/>
      <c r="J16" s="238"/>
      <c r="K16" s="238">
        <f>'$_BOM_CYCLE'!K41</f>
        <v>6453.6082474226805</v>
      </c>
      <c r="L16" s="238">
        <f t="shared" si="0"/>
        <v>6453.6082474226805</v>
      </c>
      <c r="M16" s="37" t="str">
        <f>'$_DATA'!B66</f>
        <v>SPEC.</v>
      </c>
      <c r="N16" s="239">
        <f>'$_DATA'!J66</f>
        <v>12</v>
      </c>
      <c r="O16" s="240">
        <f t="shared" si="1"/>
        <v>538</v>
      </c>
      <c r="P16" s="241">
        <f>'$_BOM_CYCLE'!K41*10/22</f>
        <v>2933.4582942830366</v>
      </c>
      <c r="Q16" s="241">
        <f>L16/22*W15</f>
        <v>880.03748828491098</v>
      </c>
      <c r="R16" s="241">
        <f t="shared" si="2"/>
        <v>3813.4957825679476</v>
      </c>
      <c r="S16" s="37">
        <f t="shared" si="3"/>
        <v>318</v>
      </c>
      <c r="T16" s="249">
        <f t="shared" si="4"/>
        <v>8</v>
      </c>
      <c r="U16" s="249">
        <f t="shared" si="5"/>
        <v>2.75</v>
      </c>
      <c r="V16" s="320"/>
      <c r="W16" s="322"/>
    </row>
    <row r="17" spans="1:23">
      <c r="A17" s="5"/>
      <c r="B17" s="5"/>
      <c r="C17" s="5"/>
      <c r="D17" s="5"/>
      <c r="E17" s="5"/>
      <c r="F17" s="5"/>
      <c r="G17" s="5"/>
      <c r="H17" s="5"/>
      <c r="I17" s="5"/>
      <c r="J17" s="246"/>
      <c r="K17" s="246"/>
      <c r="L17" s="108"/>
      <c r="M17" s="247"/>
      <c r="N17" s="247"/>
      <c r="O17" s="248"/>
      <c r="P17" s="15"/>
      <c r="Q17" s="111"/>
      <c r="R17" s="111"/>
      <c r="S17" s="113"/>
      <c r="T17" s="112"/>
      <c r="V17" s="236" t="s">
        <v>282</v>
      </c>
      <c r="W17" s="237"/>
    </row>
    <row r="18" spans="1:23">
      <c r="A18" s="331" t="s">
        <v>266</v>
      </c>
      <c r="B18" s="106"/>
      <c r="C18" s="14" t="str">
        <f>'$_BOM_CYCLE'!F4</f>
        <v>INTASS001</v>
      </c>
      <c r="D18" s="98" t="str">
        <f>'$_BOM_CYCLE'!I4</f>
        <v>COMPLETE FLAIL MOWERS L=1500</v>
      </c>
      <c r="E18" s="98"/>
      <c r="F18" s="98"/>
      <c r="G18" s="98"/>
      <c r="H18" s="98"/>
      <c r="I18" s="98"/>
      <c r="J18" s="238">
        <f>'$_BOM_CYCLE'!K4</f>
        <v>9389</v>
      </c>
      <c r="K18" s="238"/>
      <c r="L18" s="238">
        <f>K18+J18</f>
        <v>9389</v>
      </c>
      <c r="M18" s="37" t="str">
        <f>'$_DATA'!B45</f>
        <v>PALLET+BOXES</v>
      </c>
      <c r="N18" s="239">
        <f>'$_DATA'!J45</f>
        <v>1</v>
      </c>
      <c r="O18" s="240">
        <f>ROUNDUP((L18/N18),0)</f>
        <v>9389</v>
      </c>
      <c r="P18" s="244">
        <f>'$_MANUF_PARTS_BATCH'!J56*WARE_BUFFER_EPEI!V18</f>
        <v>683.56957476542232</v>
      </c>
      <c r="Q18" s="241">
        <f>P18*$I$2</f>
        <v>136.71391495308447</v>
      </c>
      <c r="R18" s="241">
        <f>P18+Q18</f>
        <v>820.28348971850676</v>
      </c>
      <c r="S18" s="37">
        <f>ROUNDUP(R18/N18,0)</f>
        <v>821</v>
      </c>
      <c r="T18" s="249">
        <f>(P18/2+Q18)/(L18/$G$2)</f>
        <v>1.1212026255604968</v>
      </c>
      <c r="U18" s="249">
        <f>L18/(0.5*P18+Q18)</f>
        <v>19.621787800400529</v>
      </c>
      <c r="V18" s="315">
        <v>1</v>
      </c>
      <c r="W18" s="316"/>
    </row>
    <row r="19" spans="1:23" ht="25.5" customHeight="1">
      <c r="A19" s="333"/>
      <c r="B19" s="106"/>
      <c r="C19" s="14" t="str">
        <f>'$_BOM_CYCLE'!F25</f>
        <v>INTASS002</v>
      </c>
      <c r="D19" s="98" t="str">
        <f>'$_BOM_CYCLE'!I25</f>
        <v>COMPLETE FLAIL MOWERS L=1750</v>
      </c>
      <c r="E19" s="98"/>
      <c r="F19" s="98"/>
      <c r="G19" s="98"/>
      <c r="H19" s="98"/>
      <c r="I19" s="98"/>
      <c r="J19" s="238"/>
      <c r="K19" s="238">
        <f>'$_BOM_CYCLE'!K25</f>
        <v>6260</v>
      </c>
      <c r="L19" s="238">
        <f>K19+J19</f>
        <v>6260</v>
      </c>
      <c r="M19" s="37" t="str">
        <f>'$_DATA'!B46</f>
        <v>PALLET+BOXES</v>
      </c>
      <c r="N19" s="239">
        <f>'$_DATA'!J46</f>
        <v>1</v>
      </c>
      <c r="O19" s="240">
        <f>ROUNDUP((L19/N19),0)</f>
        <v>6260</v>
      </c>
      <c r="P19" s="244">
        <f>'$_MANUF_PARTS_BATCH'!J57*V18</f>
        <v>456.77779996007189</v>
      </c>
      <c r="Q19" s="241">
        <f>P19*$I$2</f>
        <v>91.355559992014378</v>
      </c>
      <c r="R19" s="241">
        <f>P19+Q19</f>
        <v>548.13335995208627</v>
      </c>
      <c r="S19" s="37">
        <f>ROUNDUP(R19/N19,0)</f>
        <v>549</v>
      </c>
      <c r="T19" s="249">
        <f>(P19/2+Q19)/(L19/$G$2)</f>
        <v>1.1237025749816465</v>
      </c>
      <c r="U19" s="249">
        <f>L19/(0.5*P19+Q19)</f>
        <v>19.578134365634366</v>
      </c>
      <c r="V19" s="317"/>
      <c r="W19" s="318"/>
    </row>
    <row r="20" spans="1:23">
      <c r="A20" s="99"/>
      <c r="B20" s="99"/>
      <c r="C20" s="99"/>
      <c r="D20" s="99"/>
      <c r="E20" s="99"/>
      <c r="F20" s="99"/>
      <c r="G20" s="99"/>
      <c r="H20" s="99"/>
      <c r="I20" s="99"/>
      <c r="J20" s="245"/>
      <c r="K20" s="245"/>
      <c r="L20" s="108"/>
      <c r="M20" s="245"/>
      <c r="N20" s="245"/>
      <c r="O20" s="245"/>
      <c r="P20" s="99"/>
      <c r="Q20" s="111"/>
      <c r="R20" s="111"/>
      <c r="S20" s="113"/>
      <c r="T20" s="112"/>
      <c r="V20" s="235" t="s">
        <v>225</v>
      </c>
      <c r="W20" s="232"/>
    </row>
    <row r="21" spans="1:23">
      <c r="A21" s="331" t="s">
        <v>267</v>
      </c>
      <c r="B21" s="106"/>
      <c r="C21" s="14" t="str">
        <f>'$_BOM_CYCLE'!F6</f>
        <v>INTSAL001</v>
      </c>
      <c r="D21" s="98" t="str">
        <f>'$_BOM_CYCLE'!I6</f>
        <v xml:space="preserve">COMPLETE FLAIL MOWERS FRAME L=1500 </v>
      </c>
      <c r="E21" s="98"/>
      <c r="F21" s="98"/>
      <c r="G21" s="98"/>
      <c r="H21" s="98"/>
      <c r="I21" s="98"/>
      <c r="J21" s="238">
        <f>'$_BOM_CYCLE'!K6</f>
        <v>9389</v>
      </c>
      <c r="K21" s="238"/>
      <c r="L21" s="238">
        <f t="shared" ref="L21:L30" si="6">K21+J21</f>
        <v>9389</v>
      </c>
      <c r="M21" s="37" t="str">
        <f>'$_DATA'!B47</f>
        <v>SPEC.</v>
      </c>
      <c r="N21" s="239">
        <f>'$_DATA'!J47</f>
        <v>4</v>
      </c>
      <c r="O21" s="240">
        <f t="shared" ref="O21:O30" si="7">ROUNDUP((L21/N21),0)</f>
        <v>2348</v>
      </c>
      <c r="P21" s="244">
        <f>'$_MANUF_PARTS_BATCH'!S55</f>
        <v>441.69315710222531</v>
      </c>
      <c r="Q21" s="241">
        <f t="shared" ref="Q21:Q30" si="8">$I$2*P21</f>
        <v>88.338631420445068</v>
      </c>
      <c r="R21" s="241">
        <f t="shared" ref="R21:R30" si="9">P21+Q21</f>
        <v>530.03178852267035</v>
      </c>
      <c r="S21" s="37">
        <f t="shared" ref="S21:S30" si="10">ROUNDUP(R21/N21,0)</f>
        <v>133</v>
      </c>
      <c r="T21" s="249">
        <f t="shared" ref="T21:T30" si="11">(P21/2+Q21)/(L21/$G$2)</f>
        <v>0.72447274676475337</v>
      </c>
      <c r="U21" s="249">
        <f t="shared" ref="U21:U30" si="12">L21/(0.5*P21+Q21)</f>
        <v>30.36691179653679</v>
      </c>
      <c r="V21" s="311">
        <v>1</v>
      </c>
      <c r="W21" s="312"/>
    </row>
    <row r="22" spans="1:23">
      <c r="A22" s="332"/>
      <c r="B22" s="106"/>
      <c r="C22" s="14" t="str">
        <f>'$_BOM_CYCLE'!F27</f>
        <v>INTSAL002</v>
      </c>
      <c r="D22" s="98" t="str">
        <f>'$_BOM_CYCLE'!I27</f>
        <v xml:space="preserve">COMPLETE FLAIL MOWERS FRAME L=1750 </v>
      </c>
      <c r="E22" s="98"/>
      <c r="F22" s="98"/>
      <c r="G22" s="98"/>
      <c r="H22" s="98"/>
      <c r="I22" s="98"/>
      <c r="J22" s="238"/>
      <c r="K22" s="238">
        <f>'$_BOM_CYCLE'!K27</f>
        <v>6260</v>
      </c>
      <c r="L22" s="238">
        <f t="shared" si="6"/>
        <v>6260</v>
      </c>
      <c r="M22" s="37" t="str">
        <f>'$_DATA'!B48</f>
        <v>SPEC.</v>
      </c>
      <c r="N22" s="239">
        <f>'$_DATA'!J48</f>
        <v>4</v>
      </c>
      <c r="O22" s="240">
        <f t="shared" si="7"/>
        <v>1565</v>
      </c>
      <c r="P22" s="244">
        <f>'$_MANUF_PARTS_BATCH'!S56</f>
        <v>297.13903295967884</v>
      </c>
      <c r="Q22" s="241">
        <f t="shared" si="8"/>
        <v>59.42780659193577</v>
      </c>
      <c r="R22" s="241">
        <f t="shared" si="9"/>
        <v>356.56683955161463</v>
      </c>
      <c r="S22" s="37">
        <f t="shared" si="10"/>
        <v>90</v>
      </c>
      <c r="T22" s="249">
        <f t="shared" si="11"/>
        <v>0.73098100760048779</v>
      </c>
      <c r="U22" s="249">
        <f t="shared" si="12"/>
        <v>30.096541184041179</v>
      </c>
      <c r="V22" s="313"/>
      <c r="W22" s="314"/>
    </row>
    <row r="23" spans="1:23">
      <c r="A23" s="332"/>
      <c r="B23" s="106"/>
      <c r="C23" s="14" t="str">
        <f>'$_BOM_CYCLE'!F8</f>
        <v>INTPSP001</v>
      </c>
      <c r="D23" s="98" t="str">
        <f>'$_BOM_CYCLE'!I8</f>
        <v>GUARD L=1500</v>
      </c>
      <c r="E23" s="98"/>
      <c r="F23" s="98"/>
      <c r="G23" s="98"/>
      <c r="H23" s="98"/>
      <c r="I23" s="98"/>
      <c r="J23" s="238">
        <f>'$_BOM_CYCLE'!K8</f>
        <v>9679.3814432989693</v>
      </c>
      <c r="K23" s="238"/>
      <c r="L23" s="238">
        <f t="shared" si="6"/>
        <v>9679.3814432989693</v>
      </c>
      <c r="M23" s="37" t="str">
        <f>'$_DATA'!B55</f>
        <v>PALLET</v>
      </c>
      <c r="N23" s="239">
        <f>'$_DATA'!J55</f>
        <v>25</v>
      </c>
      <c r="O23" s="240">
        <f t="shared" si="7"/>
        <v>388</v>
      </c>
      <c r="P23" s="244">
        <f>'$_MANUF_PARTS_BATCH'!AL55</f>
        <v>779.44572748267933</v>
      </c>
      <c r="Q23" s="241">
        <f t="shared" si="8"/>
        <v>155.88914549653589</v>
      </c>
      <c r="R23" s="241">
        <f t="shared" si="9"/>
        <v>935.33487297921522</v>
      </c>
      <c r="S23" s="37">
        <f t="shared" si="10"/>
        <v>38</v>
      </c>
      <c r="T23" s="249">
        <f t="shared" si="11"/>
        <v>1.2401065371324171</v>
      </c>
      <c r="U23" s="249">
        <f t="shared" si="12"/>
        <v>17.740411280205088</v>
      </c>
      <c r="V23" s="313"/>
      <c r="W23" s="314"/>
    </row>
    <row r="24" spans="1:23">
      <c r="A24" s="332"/>
      <c r="B24" s="106"/>
      <c r="C24" s="14" t="str">
        <f>'$_MANUF_PARTS_BATCH'!C14</f>
        <v>INTPSP001-10</v>
      </c>
      <c r="D24" s="98" t="s">
        <v>268</v>
      </c>
      <c r="E24" s="98"/>
      <c r="F24" s="98"/>
      <c r="G24" s="98"/>
      <c r="H24" s="98"/>
      <c r="I24" s="98"/>
      <c r="J24" s="238">
        <f>'$_BOM_CYCLE'!L10</f>
        <v>9777.1529730292623</v>
      </c>
      <c r="K24" s="238"/>
      <c r="L24" s="238">
        <f t="shared" si="6"/>
        <v>9777.1529730292623</v>
      </c>
      <c r="M24" s="37" t="str">
        <f>'$_DATA'!B56</f>
        <v>PALLET</v>
      </c>
      <c r="N24" s="239">
        <f>'$_DATA'!J56</f>
        <v>25</v>
      </c>
      <c r="O24" s="240">
        <f t="shared" si="7"/>
        <v>392</v>
      </c>
      <c r="P24" s="244">
        <f>'$_MANUF_PARTS_BATCH'!AF65</f>
        <v>843.66152878263551</v>
      </c>
      <c r="Q24" s="241">
        <f t="shared" si="8"/>
        <v>168.73230575652713</v>
      </c>
      <c r="R24" s="241">
        <f t="shared" si="9"/>
        <v>1012.3938345391626</v>
      </c>
      <c r="S24" s="37">
        <f t="shared" si="10"/>
        <v>41</v>
      </c>
      <c r="T24" s="249">
        <f t="shared" si="11"/>
        <v>1.3288518221094321</v>
      </c>
      <c r="U24" s="249">
        <f t="shared" si="12"/>
        <v>16.555645734132334</v>
      </c>
      <c r="V24" s="313"/>
      <c r="W24" s="314"/>
    </row>
    <row r="25" spans="1:23">
      <c r="A25" s="332"/>
      <c r="B25" s="106"/>
      <c r="C25" s="14" t="str">
        <f>'$_BOM_CYCLE'!F29</f>
        <v>INTPSP002</v>
      </c>
      <c r="D25" s="98" t="str">
        <f>'$_BOM_CYCLE'!I29</f>
        <v>GUARD L=1750</v>
      </c>
      <c r="E25" s="98"/>
      <c r="F25" s="98"/>
      <c r="G25" s="98"/>
      <c r="H25" s="98"/>
      <c r="I25" s="98"/>
      <c r="J25" s="238"/>
      <c r="K25" s="238">
        <f>'$_BOM_CYCLE'!K29</f>
        <v>6453.6082474226805</v>
      </c>
      <c r="L25" s="238">
        <f t="shared" si="6"/>
        <v>6453.6082474226805</v>
      </c>
      <c r="M25" s="37" t="str">
        <f>'$_DATA'!B57</f>
        <v>PALLET</v>
      </c>
      <c r="N25" s="239">
        <f>'$_DATA'!J57</f>
        <v>25</v>
      </c>
      <c r="O25" s="240">
        <f t="shared" si="7"/>
        <v>259</v>
      </c>
      <c r="P25" s="244">
        <f>'$_MANUF_PARTS_BATCH'!AL57</f>
        <v>519.63048498845285</v>
      </c>
      <c r="Q25" s="241">
        <f t="shared" si="8"/>
        <v>103.92609699769058</v>
      </c>
      <c r="R25" s="241">
        <f t="shared" si="9"/>
        <v>623.55658198614344</v>
      </c>
      <c r="S25" s="37">
        <f t="shared" si="10"/>
        <v>25</v>
      </c>
      <c r="T25" s="249">
        <f t="shared" si="11"/>
        <v>1.2399744704085478</v>
      </c>
      <c r="U25" s="249">
        <f t="shared" si="12"/>
        <v>17.742300769104887</v>
      </c>
      <c r="V25" s="313"/>
      <c r="W25" s="314"/>
    </row>
    <row r="26" spans="1:23">
      <c r="A26" s="332"/>
      <c r="B26" s="106"/>
      <c r="C26" s="14" t="str">
        <f>'$_MANUF_PARTS_BATCH'!C16</f>
        <v>INTPSP002-10</v>
      </c>
      <c r="D26" s="98" t="s">
        <v>269</v>
      </c>
      <c r="E26" s="98"/>
      <c r="F26" s="98"/>
      <c r="G26" s="98"/>
      <c r="H26" s="98"/>
      <c r="I26" s="98"/>
      <c r="J26" s="238"/>
      <c r="K26" s="238">
        <f>'$_BOM_CYCLE'!L31</f>
        <v>6651.8328668549584</v>
      </c>
      <c r="L26" s="238">
        <f t="shared" si="6"/>
        <v>6651.8328668549584</v>
      </c>
      <c r="M26" s="37" t="str">
        <f>'$_DATA'!B58</f>
        <v>PALLET</v>
      </c>
      <c r="N26" s="239">
        <f>'$_DATA'!J58</f>
        <v>25</v>
      </c>
      <c r="O26" s="240">
        <f t="shared" si="7"/>
        <v>267</v>
      </c>
      <c r="P26" s="244">
        <f>'$_MANUF_PARTS_BATCH'!AF66</f>
        <v>571.87794904057841</v>
      </c>
      <c r="Q26" s="241">
        <f t="shared" si="8"/>
        <v>114.37558980811569</v>
      </c>
      <c r="R26" s="241">
        <f t="shared" si="9"/>
        <v>686.25353884869412</v>
      </c>
      <c r="S26" s="37">
        <f t="shared" si="10"/>
        <v>28</v>
      </c>
      <c r="T26" s="249">
        <f t="shared" si="11"/>
        <v>1.3239840193683179</v>
      </c>
      <c r="U26" s="249">
        <f t="shared" si="12"/>
        <v>16.616514760122524</v>
      </c>
      <c r="V26" s="313"/>
      <c r="W26" s="314"/>
    </row>
    <row r="27" spans="1:23">
      <c r="A27" s="332"/>
      <c r="B27" s="106"/>
      <c r="C27" s="14" t="str">
        <f>'$_BOM_CYCLE'!F12</f>
        <v>INTPSP003</v>
      </c>
      <c r="D27" s="98" t="str">
        <f>'$_BOM_CYCLE'!I12</f>
        <v>REINFORCEMENT BRACKETS</v>
      </c>
      <c r="E27" s="98"/>
      <c r="F27" s="98"/>
      <c r="G27" s="98"/>
      <c r="H27" s="98"/>
      <c r="I27" s="98"/>
      <c r="J27" s="238">
        <f>'$_BOM_CYCLE'!K12</f>
        <v>29038.14432989691</v>
      </c>
      <c r="K27" s="238">
        <f>'$_BOM_CYCLE'!K33</f>
        <v>32268.041237113401</v>
      </c>
      <c r="L27" s="238">
        <f t="shared" si="6"/>
        <v>61306.18556701031</v>
      </c>
      <c r="M27" s="37" t="str">
        <f>'$_DATA'!B59</f>
        <v>NORM.</v>
      </c>
      <c r="N27" s="239">
        <f>'$_DATA'!J59</f>
        <v>200</v>
      </c>
      <c r="O27" s="240">
        <f t="shared" si="7"/>
        <v>307</v>
      </c>
      <c r="P27" s="244">
        <f>'$_MANUF_PARTS_BATCH'!AL56</f>
        <v>4926.0969976905335</v>
      </c>
      <c r="Q27" s="241">
        <f t="shared" si="8"/>
        <v>985.2193995381067</v>
      </c>
      <c r="R27" s="241">
        <f t="shared" si="9"/>
        <v>5911.3163972286402</v>
      </c>
      <c r="S27" s="37">
        <f t="shared" si="10"/>
        <v>30</v>
      </c>
      <c r="T27" s="249">
        <f t="shared" si="11"/>
        <v>1.2374264205610033</v>
      </c>
      <c r="U27" s="249">
        <f t="shared" si="12"/>
        <v>17.778834874097818</v>
      </c>
      <c r="V27" s="313"/>
      <c r="W27" s="314"/>
    </row>
    <row r="28" spans="1:23">
      <c r="A28" s="332"/>
      <c r="B28" s="106"/>
      <c r="C28" s="14" t="str">
        <f>'$_MANUF_PARTS_BATCH'!C18</f>
        <v>INTPSP002-10</v>
      </c>
      <c r="D28" s="98" t="s">
        <v>118</v>
      </c>
      <c r="E28" s="98"/>
      <c r="F28" s="98"/>
      <c r="G28" s="98"/>
      <c r="H28" s="98"/>
      <c r="I28" s="98"/>
      <c r="J28" s="238">
        <f>'$_BOM_CYCLE'!L14</f>
        <v>29930.060121518152</v>
      </c>
      <c r="K28" s="238">
        <f>'$_BOM_CYCLE'!L35</f>
        <v>33259.164334274792</v>
      </c>
      <c r="L28" s="238">
        <f t="shared" si="6"/>
        <v>63189.224455792944</v>
      </c>
      <c r="M28" s="37" t="str">
        <f>'$_DATA'!B60</f>
        <v>NORM.</v>
      </c>
      <c r="N28" s="239">
        <f>'$_DATA'!J60</f>
        <v>200</v>
      </c>
      <c r="O28" s="240">
        <f t="shared" si="7"/>
        <v>316</v>
      </c>
      <c r="P28" s="244">
        <f>'$_MANUF_PARTS_BATCH'!AF67</f>
        <v>5424.347279018556</v>
      </c>
      <c r="Q28" s="241">
        <f t="shared" si="8"/>
        <v>1084.8694558037112</v>
      </c>
      <c r="R28" s="241">
        <f t="shared" si="9"/>
        <v>6509.2167348222674</v>
      </c>
      <c r="S28" s="37">
        <f t="shared" si="10"/>
        <v>33</v>
      </c>
      <c r="T28" s="249">
        <f t="shared" si="11"/>
        <v>1.321980904439279</v>
      </c>
      <c r="U28" s="249">
        <f t="shared" si="12"/>
        <v>16.641692725002976</v>
      </c>
      <c r="V28" s="313"/>
      <c r="W28" s="314"/>
    </row>
    <row r="29" spans="1:23">
      <c r="A29" s="332"/>
      <c r="B29" s="106"/>
      <c r="C29" s="14" t="str">
        <f>'$_BOM_CYCLE'!F16</f>
        <v>INTPSP004</v>
      </c>
      <c r="D29" s="98" t="str">
        <f>'$_BOM_CYCLE'!I16</f>
        <v>TRACTOR HITCHS PLATES</v>
      </c>
      <c r="E29" s="98"/>
      <c r="F29" s="98"/>
      <c r="G29" s="98"/>
      <c r="H29" s="98"/>
      <c r="I29" s="98"/>
      <c r="J29" s="238">
        <f>'$_BOM_CYCLE'!K16</f>
        <v>19358.762886597939</v>
      </c>
      <c r="K29" s="238">
        <f>'$_BOM_CYCLE'!K37</f>
        <v>12907.216494845361</v>
      </c>
      <c r="L29" s="238">
        <f t="shared" si="6"/>
        <v>32265.9793814433</v>
      </c>
      <c r="M29" s="37" t="str">
        <f>'$_DATA'!B61</f>
        <v>NORM.</v>
      </c>
      <c r="N29" s="239">
        <f>'$_DATA'!J61</f>
        <v>200</v>
      </c>
      <c r="O29" s="240">
        <f t="shared" si="7"/>
        <v>162</v>
      </c>
      <c r="P29" s="244">
        <f>'$_MANUF_PARTS_BATCH'!AL58</f>
        <v>2592.9561200923799</v>
      </c>
      <c r="Q29" s="241">
        <f t="shared" si="8"/>
        <v>518.59122401847605</v>
      </c>
      <c r="R29" s="241">
        <f t="shared" si="9"/>
        <v>3111.5473441108561</v>
      </c>
      <c r="S29" s="37">
        <f t="shared" si="10"/>
        <v>16</v>
      </c>
      <c r="T29" s="249">
        <f t="shared" si="11"/>
        <v>1.2375735996530122</v>
      </c>
      <c r="U29" s="249">
        <f t="shared" si="12"/>
        <v>17.776720516798601</v>
      </c>
      <c r="V29" s="313"/>
      <c r="W29" s="314"/>
    </row>
    <row r="30" spans="1:23">
      <c r="A30" s="333"/>
      <c r="B30" s="106"/>
      <c r="C30" s="14" t="str">
        <f>'$_MANUF_PARTS_BATCH'!C20</f>
        <v>INTPSP004-10</v>
      </c>
      <c r="D30" s="98" t="s">
        <v>270</v>
      </c>
      <c r="E30" s="98"/>
      <c r="F30" s="98"/>
      <c r="G30" s="98"/>
      <c r="H30" s="98"/>
      <c r="I30" s="98"/>
      <c r="J30" s="238">
        <f>'$_BOM_CYCLE'!L18</f>
        <v>19953.373414345431</v>
      </c>
      <c r="K30" s="238">
        <f>'$_BOM_CYCLE'!L39</f>
        <v>13303.665733709917</v>
      </c>
      <c r="L30" s="238">
        <f t="shared" si="6"/>
        <v>33257.039148055352</v>
      </c>
      <c r="M30" s="37" t="str">
        <f>'$_DATA'!B62</f>
        <v>NORM.</v>
      </c>
      <c r="N30" s="239">
        <f>'$_DATA'!J62</f>
        <v>200</v>
      </c>
      <c r="O30" s="240">
        <f t="shared" si="7"/>
        <v>167</v>
      </c>
      <c r="P30" s="244">
        <f>'$_MANUF_PARTS_BATCH'!AF68</f>
        <v>2853.7275872915993</v>
      </c>
      <c r="Q30" s="241">
        <f t="shared" si="8"/>
        <v>570.74551745831991</v>
      </c>
      <c r="R30" s="241">
        <f t="shared" si="9"/>
        <v>3424.473104749919</v>
      </c>
      <c r="S30" s="37">
        <f t="shared" si="10"/>
        <v>18</v>
      </c>
      <c r="T30" s="249">
        <f t="shared" si="11"/>
        <v>1.3214467063241371</v>
      </c>
      <c r="U30" s="249">
        <f t="shared" si="12"/>
        <v>16.648420170645633</v>
      </c>
      <c r="V30" s="313"/>
      <c r="W30" s="314"/>
    </row>
  </sheetData>
  <mergeCells count="48">
    <mergeCell ref="A1:C1"/>
    <mergeCell ref="P1:Q1"/>
    <mergeCell ref="A2:C2"/>
    <mergeCell ref="E2:F2"/>
    <mergeCell ref="J2:O3"/>
    <mergeCell ref="P2:U3"/>
    <mergeCell ref="A3:C3"/>
    <mergeCell ref="E3:F3"/>
    <mergeCell ref="A18:A19"/>
    <mergeCell ref="A21:A30"/>
    <mergeCell ref="V4:V5"/>
    <mergeCell ref="V13:V14"/>
    <mergeCell ref="D6:I6"/>
    <mergeCell ref="N4:N5"/>
    <mergeCell ref="O4:O5"/>
    <mergeCell ref="P4:P5"/>
    <mergeCell ref="Q4:Q5"/>
    <mergeCell ref="R4:R5"/>
    <mergeCell ref="S4:S5"/>
    <mergeCell ref="A4:B5"/>
    <mergeCell ref="C4:C5"/>
    <mergeCell ref="D4:I5"/>
    <mergeCell ref="J4:K4"/>
    <mergeCell ref="L4:L5"/>
    <mergeCell ref="W4:W5"/>
    <mergeCell ref="V6:V8"/>
    <mergeCell ref="W6:W8"/>
    <mergeCell ref="V9:V10"/>
    <mergeCell ref="W9:W10"/>
    <mergeCell ref="T4:T5"/>
    <mergeCell ref="U4:U5"/>
    <mergeCell ref="A6:A16"/>
    <mergeCell ref="M4:M5"/>
    <mergeCell ref="D12:I12"/>
    <mergeCell ref="D15:I15"/>
    <mergeCell ref="D16:I16"/>
    <mergeCell ref="V21:W30"/>
    <mergeCell ref="V18:W19"/>
    <mergeCell ref="V15:V16"/>
    <mergeCell ref="W15:W16"/>
    <mergeCell ref="D7:I7"/>
    <mergeCell ref="D8:I8"/>
    <mergeCell ref="D9:I9"/>
    <mergeCell ref="D10:I10"/>
    <mergeCell ref="D11:I11"/>
    <mergeCell ref="V11:V12"/>
    <mergeCell ref="W11:W12"/>
    <mergeCell ref="W13:W14"/>
  </mergeCells>
  <phoneticPr fontId="25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5DD9F-AE03-47EC-AA15-FC0F5532BA6D}">
  <dimension ref="A1:AS39"/>
  <sheetViews>
    <sheetView topLeftCell="A7" zoomScale="58" workbookViewId="0">
      <selection activeCell="G8" sqref="G8"/>
    </sheetView>
  </sheetViews>
  <sheetFormatPr defaultColWidth="8.796875" defaultRowHeight="14.25"/>
  <cols>
    <col min="2" max="2" width="24.1328125" customWidth="1"/>
    <col min="3" max="3" width="9" customWidth="1"/>
    <col min="7" max="7" width="13.46484375" customWidth="1"/>
    <col min="10" max="10" width="10.6640625" customWidth="1"/>
    <col min="28" max="29" width="9.33203125" bestFit="1" customWidth="1"/>
  </cols>
  <sheetData>
    <row r="1" spans="1:45">
      <c r="A1" s="250" t="s">
        <v>225</v>
      </c>
      <c r="B1" s="251" t="s">
        <v>225</v>
      </c>
      <c r="C1" s="251" t="s">
        <v>283</v>
      </c>
      <c r="D1" s="252"/>
      <c r="E1" s="252"/>
      <c r="F1" s="253" t="s">
        <v>225</v>
      </c>
      <c r="G1" s="253" t="s">
        <v>225</v>
      </c>
      <c r="H1" s="254" t="s">
        <v>225</v>
      </c>
      <c r="I1" s="255"/>
      <c r="J1" s="250" t="s">
        <v>225</v>
      </c>
      <c r="K1" s="256" t="s">
        <v>284</v>
      </c>
      <c r="L1" s="253" t="s">
        <v>225</v>
      </c>
      <c r="M1" s="253" t="s">
        <v>225</v>
      </c>
      <c r="N1" s="253" t="s">
        <v>225</v>
      </c>
      <c r="O1" s="253" t="s">
        <v>225</v>
      </c>
      <c r="P1" s="253" t="s">
        <v>225</v>
      </c>
      <c r="Q1" s="253" t="s">
        <v>225</v>
      </c>
      <c r="R1" s="253" t="s">
        <v>225</v>
      </c>
      <c r="S1" s="253" t="s">
        <v>225</v>
      </c>
      <c r="T1" s="253" t="s">
        <v>225</v>
      </c>
      <c r="U1" s="253" t="s">
        <v>225</v>
      </c>
      <c r="V1" s="253" t="s">
        <v>225</v>
      </c>
      <c r="W1" s="254" t="s">
        <v>225</v>
      </c>
      <c r="X1" s="255"/>
      <c r="Y1" s="257" t="s">
        <v>285</v>
      </c>
      <c r="Z1" s="253" t="s">
        <v>225</v>
      </c>
      <c r="AA1" s="253" t="s">
        <v>225</v>
      </c>
      <c r="AB1" s="253" t="s">
        <v>225</v>
      </c>
      <c r="AC1" s="253" t="s">
        <v>225</v>
      </c>
      <c r="AD1" s="253" t="s">
        <v>225</v>
      </c>
      <c r="AE1" s="253" t="s">
        <v>225</v>
      </c>
      <c r="AF1" s="253" t="s">
        <v>225</v>
      </c>
      <c r="AG1" s="253" t="s">
        <v>225</v>
      </c>
      <c r="AH1" s="253" t="s">
        <v>225</v>
      </c>
      <c r="AI1" s="253" t="s">
        <v>225</v>
      </c>
      <c r="AJ1" s="253" t="s">
        <v>225</v>
      </c>
      <c r="AK1" s="255" t="s">
        <v>225</v>
      </c>
      <c r="AL1" s="255" t="s">
        <v>225</v>
      </c>
      <c r="AM1" s="255" t="s">
        <v>225</v>
      </c>
      <c r="AN1" s="255" t="s">
        <v>225</v>
      </c>
      <c r="AO1" s="255" t="s">
        <v>225</v>
      </c>
      <c r="AP1" s="255" t="s">
        <v>225</v>
      </c>
      <c r="AQ1" s="255" t="s">
        <v>225</v>
      </c>
      <c r="AR1" s="255" t="s">
        <v>225</v>
      </c>
      <c r="AS1" s="255" t="s">
        <v>225</v>
      </c>
    </row>
    <row r="2" spans="1:45">
      <c r="A2" s="258" t="s">
        <v>225</v>
      </c>
      <c r="B2" s="255" t="s">
        <v>286</v>
      </c>
      <c r="C2" s="255" t="s">
        <v>287</v>
      </c>
      <c r="D2" s="255">
        <v>63.4</v>
      </c>
      <c r="E2" s="255" t="s">
        <v>288</v>
      </c>
      <c r="F2" s="255"/>
      <c r="G2" s="255"/>
      <c r="H2" s="259" t="s">
        <v>225</v>
      </c>
      <c r="I2" s="255"/>
      <c r="J2" s="258" t="s">
        <v>225</v>
      </c>
      <c r="K2" s="255"/>
      <c r="L2" s="255"/>
      <c r="M2" s="255"/>
      <c r="N2" s="255"/>
      <c r="O2" s="255"/>
      <c r="P2" s="255"/>
      <c r="Q2" s="255"/>
      <c r="R2" s="255"/>
      <c r="S2" s="255"/>
      <c r="T2" s="255"/>
      <c r="U2" s="255"/>
      <c r="V2" s="255"/>
      <c r="W2" s="259" t="s">
        <v>225</v>
      </c>
      <c r="X2" s="255"/>
      <c r="Y2" s="258" t="s">
        <v>225</v>
      </c>
      <c r="Z2" s="255"/>
      <c r="AA2" s="255" t="s">
        <v>289</v>
      </c>
      <c r="AB2" s="255"/>
      <c r="AC2" s="255"/>
      <c r="AD2" s="255"/>
      <c r="AE2" s="255"/>
      <c r="AF2" s="255"/>
      <c r="AG2" s="255"/>
      <c r="AH2" s="255"/>
      <c r="AI2" s="255"/>
      <c r="AJ2" s="255"/>
      <c r="AK2" s="255"/>
      <c r="AL2" s="255"/>
      <c r="AM2" s="255"/>
      <c r="AN2" s="255"/>
      <c r="AO2" s="255"/>
      <c r="AP2" s="255"/>
      <c r="AQ2" s="255"/>
      <c r="AR2" s="255"/>
      <c r="AS2" s="255" t="s">
        <v>225</v>
      </c>
    </row>
    <row r="3" spans="1:45">
      <c r="A3" s="258" t="s">
        <v>225</v>
      </c>
      <c r="B3" s="255"/>
      <c r="C3" s="255"/>
      <c r="D3" s="255"/>
      <c r="E3" s="255"/>
      <c r="F3" s="255"/>
      <c r="G3" s="255"/>
      <c r="H3" s="259" t="s">
        <v>225</v>
      </c>
      <c r="I3" s="255"/>
      <c r="J3" s="258" t="s">
        <v>225</v>
      </c>
      <c r="K3" s="255"/>
      <c r="L3" s="255" t="s">
        <v>290</v>
      </c>
      <c r="M3" s="255"/>
      <c r="N3" s="255"/>
      <c r="O3" s="255"/>
      <c r="P3" s="255"/>
      <c r="Q3" s="255"/>
      <c r="R3" s="255"/>
      <c r="S3" s="255"/>
      <c r="T3" s="255"/>
      <c r="U3" s="255"/>
      <c r="V3" s="255"/>
      <c r="W3" s="259" t="s">
        <v>225</v>
      </c>
      <c r="X3" s="255"/>
      <c r="Y3" s="258" t="s">
        <v>225</v>
      </c>
      <c r="Z3" s="255"/>
      <c r="AA3" s="255" t="s">
        <v>291</v>
      </c>
      <c r="AB3" s="255">
        <v>795</v>
      </c>
      <c r="AC3" s="255">
        <f>D7+D12</f>
        <v>123</v>
      </c>
      <c r="AD3" s="255"/>
      <c r="AE3" s="255"/>
      <c r="AF3" s="255"/>
      <c r="AG3" s="255"/>
      <c r="AH3" s="255"/>
      <c r="AI3" s="255"/>
      <c r="AJ3" s="255"/>
      <c r="AK3" s="255"/>
      <c r="AL3" s="255"/>
      <c r="AM3" s="255"/>
      <c r="AN3" s="255"/>
      <c r="AO3" s="255"/>
      <c r="AP3" s="255"/>
      <c r="AQ3" s="255"/>
      <c r="AR3" s="255"/>
      <c r="AS3" s="255" t="s">
        <v>225</v>
      </c>
    </row>
    <row r="4" spans="1:45" ht="14.55" customHeight="1">
      <c r="A4" s="258" t="s">
        <v>225</v>
      </c>
      <c r="B4" s="255" t="s">
        <v>292</v>
      </c>
      <c r="C4" s="255"/>
      <c r="D4" s="255"/>
      <c r="E4" s="255"/>
      <c r="F4" s="255"/>
      <c r="G4" s="255"/>
      <c r="H4" s="259" t="s">
        <v>225</v>
      </c>
      <c r="I4" s="255"/>
      <c r="J4" s="258" t="s">
        <v>225</v>
      </c>
      <c r="K4" s="255"/>
      <c r="L4" s="255"/>
      <c r="M4" s="255"/>
      <c r="N4" s="255"/>
      <c r="O4" s="255"/>
      <c r="P4" s="255"/>
      <c r="Q4" s="255"/>
      <c r="R4" s="255"/>
      <c r="S4" s="255"/>
      <c r="T4" s="255"/>
      <c r="U4" s="255"/>
      <c r="V4" s="255"/>
      <c r="W4" s="259" t="s">
        <v>225</v>
      </c>
      <c r="X4" s="255"/>
      <c r="Y4" s="258" t="s">
        <v>225</v>
      </c>
      <c r="Z4" s="255"/>
      <c r="AA4" s="255" t="s">
        <v>293</v>
      </c>
      <c r="AB4" s="255" t="s">
        <v>294</v>
      </c>
      <c r="AC4" s="255" t="s">
        <v>295</v>
      </c>
      <c r="AD4" s="255"/>
      <c r="AE4" s="255"/>
      <c r="AF4" s="255"/>
      <c r="AG4" s="255"/>
      <c r="AH4" s="255"/>
      <c r="AI4" s="255"/>
      <c r="AJ4" s="255"/>
      <c r="AK4" s="255"/>
      <c r="AL4" s="255"/>
      <c r="AM4" s="255"/>
      <c r="AN4" s="255"/>
      <c r="AO4" s="255"/>
      <c r="AP4" s="255"/>
      <c r="AQ4" s="255"/>
      <c r="AR4" s="255"/>
      <c r="AS4" s="255" t="s">
        <v>225</v>
      </c>
    </row>
    <row r="5" spans="1:45" ht="14.55" customHeight="1">
      <c r="A5" s="258" t="s">
        <v>225</v>
      </c>
      <c r="B5" s="255"/>
      <c r="C5" s="255"/>
      <c r="D5" s="255" t="s">
        <v>296</v>
      </c>
      <c r="E5" s="255" t="s">
        <v>297</v>
      </c>
      <c r="F5" s="255"/>
      <c r="G5" s="255" t="s">
        <v>298</v>
      </c>
      <c r="H5" s="259" t="s">
        <v>225</v>
      </c>
      <c r="I5" s="255"/>
      <c r="J5" s="258" t="s">
        <v>225</v>
      </c>
      <c r="K5" s="255" t="s">
        <v>299</v>
      </c>
      <c r="L5" s="252" t="s">
        <v>300</v>
      </c>
      <c r="M5" s="255" t="s">
        <v>301</v>
      </c>
      <c r="N5" s="252" t="s">
        <v>300</v>
      </c>
      <c r="O5" s="255" t="s">
        <v>302</v>
      </c>
      <c r="P5" s="252" t="s">
        <v>300</v>
      </c>
      <c r="Q5" s="255" t="s">
        <v>303</v>
      </c>
      <c r="R5" s="252" t="s">
        <v>300</v>
      </c>
      <c r="S5" s="255" t="s">
        <v>304</v>
      </c>
      <c r="T5" s="252" t="s">
        <v>300</v>
      </c>
      <c r="U5" s="255"/>
      <c r="V5" s="255"/>
      <c r="W5" s="259" t="s">
        <v>225</v>
      </c>
      <c r="X5" s="255"/>
      <c r="Y5" s="258" t="s">
        <v>225</v>
      </c>
      <c r="Z5" s="255"/>
      <c r="AA5" s="255" t="s">
        <v>305</v>
      </c>
      <c r="AB5" s="255">
        <f>12.2</f>
        <v>12.2</v>
      </c>
      <c r="AC5" s="255">
        <f>12.2/0.8</f>
        <v>15.249999999999998</v>
      </c>
      <c r="AD5" s="255"/>
      <c r="AE5" s="255"/>
      <c r="AF5" s="255"/>
      <c r="AG5" s="255"/>
      <c r="AH5" s="255"/>
      <c r="AI5" s="255"/>
      <c r="AJ5" s="255"/>
      <c r="AK5" s="255"/>
      <c r="AL5" s="255"/>
      <c r="AM5" s="255"/>
      <c r="AN5" s="255"/>
      <c r="AO5" s="255"/>
      <c r="AP5" s="255"/>
      <c r="AQ5" s="255"/>
      <c r="AR5" s="255"/>
      <c r="AS5" s="255" t="s">
        <v>225</v>
      </c>
    </row>
    <row r="6" spans="1:45" ht="14.55" customHeight="1">
      <c r="A6" s="258" t="s">
        <v>306</v>
      </c>
      <c r="B6" s="555" t="s">
        <v>37</v>
      </c>
      <c r="C6" s="555"/>
      <c r="D6" s="260">
        <f>WARE_BUFFER_EPEI!S6+WARE_BUFFER_EPEI!S7+WARE_BUFFER_EPEI!S8</f>
        <v>339</v>
      </c>
      <c r="E6" s="255">
        <v>10</v>
      </c>
      <c r="F6" s="255"/>
      <c r="G6" s="255">
        <f>75*1.5*2*0.3+67*1.5*0.3+197*2*0.3</f>
        <v>215.85</v>
      </c>
      <c r="H6" s="259" t="s">
        <v>288</v>
      </c>
      <c r="I6" s="255"/>
      <c r="J6" s="258" t="s">
        <v>225</v>
      </c>
      <c r="K6" s="255">
        <f>D9</f>
        <v>795</v>
      </c>
      <c r="L6" s="252">
        <f>G9</f>
        <v>1590</v>
      </c>
      <c r="M6" s="255">
        <f>D11</f>
        <v>333</v>
      </c>
      <c r="N6" s="252">
        <f>G11</f>
        <v>208.5</v>
      </c>
      <c r="O6" s="255">
        <f>D6</f>
        <v>339</v>
      </c>
      <c r="P6" s="252">
        <f>G6</f>
        <v>215.85</v>
      </c>
      <c r="Q6" s="255">
        <f>D8</f>
        <v>189</v>
      </c>
      <c r="R6" s="252">
        <f>G8</f>
        <v>94.316000000000017</v>
      </c>
      <c r="S6" s="255">
        <f>D10</f>
        <v>363</v>
      </c>
      <c r="T6" s="252">
        <f>G10</f>
        <v>726</v>
      </c>
      <c r="U6" s="255"/>
      <c r="V6" s="255"/>
      <c r="W6" s="259" t="s">
        <v>225</v>
      </c>
      <c r="X6" s="255"/>
      <c r="Y6" s="258" t="s">
        <v>225</v>
      </c>
      <c r="Z6" s="255"/>
      <c r="AA6" s="255" t="s">
        <v>307</v>
      </c>
      <c r="AB6" s="255">
        <f>2.4/2</f>
        <v>1.2</v>
      </c>
      <c r="AC6" s="255">
        <f>2.4/1</f>
        <v>2.4</v>
      </c>
      <c r="AD6" s="255"/>
      <c r="AE6" s="255"/>
      <c r="AF6" s="255"/>
      <c r="AG6" s="255"/>
      <c r="AH6" s="255"/>
      <c r="AI6" s="255"/>
      <c r="AJ6" s="255"/>
      <c r="AK6" s="255"/>
      <c r="AL6" s="255"/>
      <c r="AM6" s="255"/>
      <c r="AN6" s="255"/>
      <c r="AO6" s="255"/>
      <c r="AP6" s="255"/>
      <c r="AQ6" s="255"/>
      <c r="AR6" s="255"/>
      <c r="AS6" s="255" t="s">
        <v>225</v>
      </c>
    </row>
    <row r="7" spans="1:45" ht="14.55" customHeight="1">
      <c r="A7" s="258" t="s">
        <v>225</v>
      </c>
      <c r="B7" s="556" t="s">
        <v>246</v>
      </c>
      <c r="C7" s="555"/>
      <c r="D7" s="260">
        <f>WARE_BUFFER_EPEI!S9+WARE_BUFFER_EPEI!S10</f>
        <v>73</v>
      </c>
      <c r="E7" s="255">
        <v>3</v>
      </c>
      <c r="F7" s="255"/>
      <c r="G7" s="255">
        <f>D7*0.8*0.8</f>
        <v>46.720000000000006</v>
      </c>
      <c r="H7" s="259" t="s">
        <v>225</v>
      </c>
      <c r="I7" s="255"/>
      <c r="J7" s="258" t="s">
        <v>225</v>
      </c>
      <c r="K7" s="255"/>
      <c r="L7" s="252"/>
      <c r="M7" s="255">
        <f>D7</f>
        <v>73</v>
      </c>
      <c r="N7" s="252">
        <f>G7</f>
        <v>46.720000000000006</v>
      </c>
      <c r="O7" s="255"/>
      <c r="P7" s="252"/>
      <c r="Q7" s="255">
        <f>D14</f>
        <v>285</v>
      </c>
      <c r="R7" s="252">
        <f>G14</f>
        <v>570</v>
      </c>
      <c r="S7" s="255">
        <f>D7</f>
        <v>73</v>
      </c>
      <c r="T7" s="252">
        <f>G7</f>
        <v>46.720000000000006</v>
      </c>
      <c r="U7" s="255"/>
      <c r="V7" s="255"/>
      <c r="W7" s="259" t="s">
        <v>225</v>
      </c>
      <c r="X7" s="255"/>
      <c r="Y7" s="258" t="s">
        <v>225</v>
      </c>
      <c r="Z7" s="255"/>
      <c r="AA7" s="255" t="s">
        <v>308</v>
      </c>
      <c r="AB7" s="255">
        <f>2.6</f>
        <v>2.6</v>
      </c>
      <c r="AC7" s="255">
        <f>2.6/0.8</f>
        <v>3.25</v>
      </c>
      <c r="AD7" s="255"/>
      <c r="AE7" s="255"/>
      <c r="AF7" s="255"/>
      <c r="AG7" s="255"/>
      <c r="AH7" s="255"/>
      <c r="AI7" s="255"/>
      <c r="AJ7" s="255"/>
      <c r="AK7" s="255"/>
      <c r="AL7" s="255"/>
      <c r="AM7" s="255"/>
      <c r="AN7" s="255"/>
      <c r="AO7" s="255"/>
      <c r="AP7" s="255"/>
      <c r="AQ7" s="255"/>
      <c r="AR7" s="255"/>
      <c r="AS7" s="255" t="s">
        <v>225</v>
      </c>
    </row>
    <row r="8" spans="1:45" ht="14.55" customHeight="1">
      <c r="A8" s="258" t="s">
        <v>225</v>
      </c>
      <c r="B8" s="555" t="s">
        <v>49</v>
      </c>
      <c r="C8" s="555"/>
      <c r="D8" s="260">
        <f>WARE_BUFFER_EPEI!S11+WARE_BUFFER_EPEI!S12</f>
        <v>189</v>
      </c>
      <c r="E8" s="255">
        <v>10</v>
      </c>
      <c r="F8" s="255"/>
      <c r="G8" s="255">
        <f>115*0.46*0.8*0.55+74*0.8*0.8*1.5</f>
        <v>94.316000000000017</v>
      </c>
      <c r="H8" s="259" t="s">
        <v>225</v>
      </c>
      <c r="I8" s="255"/>
      <c r="J8" s="258" t="s">
        <v>225</v>
      </c>
      <c r="K8" s="255"/>
      <c r="L8" s="252"/>
      <c r="M8" s="255">
        <f>D12</f>
        <v>50</v>
      </c>
      <c r="N8" s="252">
        <f>G12</f>
        <v>32.000000000000007</v>
      </c>
      <c r="O8" s="255"/>
      <c r="P8" s="252"/>
      <c r="Q8" s="255">
        <f>D13</f>
        <v>128</v>
      </c>
      <c r="R8" s="252">
        <f>G13</f>
        <v>54.696000000000012</v>
      </c>
      <c r="S8" s="255">
        <f>D12</f>
        <v>50</v>
      </c>
      <c r="T8" s="252">
        <f>G12</f>
        <v>32.000000000000007</v>
      </c>
      <c r="U8" s="255"/>
      <c r="V8" s="255"/>
      <c r="W8" s="259" t="s">
        <v>225</v>
      </c>
      <c r="X8" s="255"/>
      <c r="Y8" s="258" t="s">
        <v>225</v>
      </c>
      <c r="Z8" s="255"/>
      <c r="AA8" s="255" t="s">
        <v>309</v>
      </c>
      <c r="AB8" s="255">
        <f>12*1*2</f>
        <v>24</v>
      </c>
      <c r="AC8" s="255">
        <f>15*2*3</f>
        <v>90</v>
      </c>
      <c r="AD8" s="255"/>
      <c r="AE8" s="255"/>
      <c r="AF8" s="255"/>
      <c r="AG8" s="255"/>
      <c r="AH8" s="255"/>
      <c r="AI8" s="255"/>
      <c r="AJ8" s="255"/>
      <c r="AK8" s="255"/>
      <c r="AL8" s="255"/>
      <c r="AM8" s="255"/>
      <c r="AN8" s="255"/>
      <c r="AO8" s="255"/>
      <c r="AP8" s="255"/>
      <c r="AQ8" s="255"/>
      <c r="AR8" s="255"/>
      <c r="AS8" s="255" t="s">
        <v>225</v>
      </c>
    </row>
    <row r="9" spans="1:45" ht="14.55" customHeight="1">
      <c r="A9" s="551" t="s">
        <v>57</v>
      </c>
      <c r="B9" s="552"/>
      <c r="C9" s="552"/>
      <c r="D9" s="260">
        <f>WARE_BUFFER_EPEI!S15+WARE_BUFFER_EPEI!S16</f>
        <v>795</v>
      </c>
      <c r="E9" s="255">
        <v>10</v>
      </c>
      <c r="F9" s="255"/>
      <c r="G9" s="255">
        <f>D9*2</f>
        <v>1590</v>
      </c>
      <c r="H9" s="259"/>
      <c r="I9" s="255"/>
      <c r="J9" s="258"/>
      <c r="K9" s="255"/>
      <c r="L9" s="252"/>
      <c r="M9" s="255"/>
      <c r="N9" s="252"/>
      <c r="O9" s="255"/>
      <c r="P9" s="252"/>
      <c r="Q9" s="255"/>
      <c r="R9" s="252"/>
      <c r="S9" s="255"/>
      <c r="T9" s="252"/>
      <c r="U9" s="255"/>
      <c r="V9" s="255"/>
      <c r="W9" s="259"/>
      <c r="X9" s="255"/>
      <c r="Y9" s="258"/>
      <c r="Z9" s="255"/>
      <c r="AA9" s="255"/>
      <c r="AB9" s="255"/>
      <c r="AC9" s="255"/>
      <c r="AD9" s="255"/>
      <c r="AE9" s="255"/>
      <c r="AF9" s="255"/>
      <c r="AG9" s="255"/>
      <c r="AH9" s="255"/>
      <c r="AI9" s="255"/>
      <c r="AJ9" s="255"/>
      <c r="AK9" s="255"/>
      <c r="AL9" s="255"/>
      <c r="AM9" s="255"/>
      <c r="AN9" s="255"/>
      <c r="AO9" s="255"/>
      <c r="AP9" s="255"/>
      <c r="AQ9" s="255"/>
      <c r="AR9" s="255"/>
      <c r="AS9" s="255"/>
    </row>
    <row r="10" spans="1:45" ht="14.55" customHeight="1">
      <c r="A10" s="258" t="s">
        <v>225</v>
      </c>
      <c r="B10" s="555" t="s">
        <v>56</v>
      </c>
      <c r="C10" s="555"/>
      <c r="D10" s="260">
        <f>WARE_BUFFER_EPEI!S13+WARE_BUFFER_EPEI!S14</f>
        <v>363</v>
      </c>
      <c r="E10" s="255">
        <v>5</v>
      </c>
      <c r="F10" s="255"/>
      <c r="G10" s="255">
        <f>D10*2</f>
        <v>726</v>
      </c>
      <c r="H10" s="259" t="s">
        <v>225</v>
      </c>
      <c r="I10" s="255"/>
      <c r="J10" s="258" t="s">
        <v>225</v>
      </c>
      <c r="K10" s="255"/>
      <c r="L10" s="252" t="s">
        <v>225</v>
      </c>
      <c r="M10" s="255"/>
      <c r="N10" s="252" t="s">
        <v>225</v>
      </c>
      <c r="O10" s="255"/>
      <c r="P10" s="252" t="s">
        <v>225</v>
      </c>
      <c r="Q10" s="255"/>
      <c r="R10" s="252" t="s">
        <v>225</v>
      </c>
      <c r="S10" s="255"/>
      <c r="T10" s="252" t="s">
        <v>225</v>
      </c>
      <c r="U10" s="255"/>
      <c r="V10" s="255"/>
      <c r="W10" s="259" t="s">
        <v>225</v>
      </c>
      <c r="X10" s="255"/>
      <c r="Y10" s="258" t="s">
        <v>225</v>
      </c>
      <c r="Z10" s="255"/>
      <c r="AA10" s="255" t="s">
        <v>310</v>
      </c>
      <c r="AB10" s="255">
        <f>AB3/AB8</f>
        <v>33.125</v>
      </c>
      <c r="AC10" s="255">
        <f>AC3/AC8</f>
        <v>1.3666666666666667</v>
      </c>
      <c r="AD10" s="255"/>
      <c r="AE10" s="255"/>
      <c r="AF10" s="255"/>
      <c r="AG10" s="255"/>
      <c r="AH10" s="255"/>
      <c r="AI10" s="255"/>
      <c r="AJ10" s="255"/>
      <c r="AK10" s="255"/>
      <c r="AL10" s="255"/>
      <c r="AM10" s="255"/>
      <c r="AN10" s="255"/>
      <c r="AO10" s="255"/>
      <c r="AP10" s="255"/>
      <c r="AQ10" s="255"/>
      <c r="AR10" s="255"/>
      <c r="AS10" s="255" t="s">
        <v>225</v>
      </c>
    </row>
    <row r="11" spans="1:45" ht="14.55" customHeight="1">
      <c r="A11" s="258" t="s">
        <v>311</v>
      </c>
      <c r="B11" s="557" t="s">
        <v>37</v>
      </c>
      <c r="C11" s="553"/>
      <c r="D11" s="261">
        <f>53+48+232</f>
        <v>333</v>
      </c>
      <c r="E11" s="255">
        <v>10</v>
      </c>
      <c r="F11" s="255"/>
      <c r="G11" s="255">
        <f>53*1.5*2*0.3+48*1.5*0.3+232*2*0.3</f>
        <v>208.5</v>
      </c>
      <c r="H11" s="259" t="s">
        <v>225</v>
      </c>
      <c r="I11" s="255"/>
      <c r="J11" s="262" t="s">
        <v>312</v>
      </c>
      <c r="K11" s="255">
        <f>K6</f>
        <v>795</v>
      </c>
      <c r="L11" s="252">
        <f>L6</f>
        <v>1590</v>
      </c>
      <c r="M11" s="255">
        <f>SUM(M6:M8)</f>
        <v>456</v>
      </c>
      <c r="N11" s="252">
        <f>SUM(N6:N8)</f>
        <v>287.22000000000003</v>
      </c>
      <c r="O11" s="263">
        <f>O6</f>
        <v>339</v>
      </c>
      <c r="P11" s="264">
        <f>P6</f>
        <v>215.85</v>
      </c>
      <c r="Q11" s="255">
        <f>SUM(Q6:Q7)</f>
        <v>474</v>
      </c>
      <c r="R11" s="252">
        <f>SUM(R6:R8)</f>
        <v>719.01200000000006</v>
      </c>
      <c r="S11" s="255">
        <f>SUM(S6:S8)</f>
        <v>486</v>
      </c>
      <c r="T11" s="252">
        <f>SUM(T6:T8)</f>
        <v>804.72</v>
      </c>
      <c r="U11" s="255"/>
      <c r="V11" s="255"/>
      <c r="W11" s="259" t="s">
        <v>225</v>
      </c>
      <c r="X11" s="255"/>
      <c r="Y11" s="258" t="s">
        <v>225</v>
      </c>
      <c r="Z11" s="255"/>
      <c r="AA11" s="255"/>
      <c r="AB11" s="255">
        <v>34</v>
      </c>
      <c r="AC11" s="255">
        <v>2</v>
      </c>
      <c r="AD11" s="255"/>
      <c r="AE11" s="255"/>
      <c r="AF11" s="255"/>
      <c r="AG11" s="255"/>
      <c r="AH11" s="255"/>
      <c r="AI11" s="255"/>
      <c r="AJ11" s="255"/>
      <c r="AK11" s="255"/>
      <c r="AL11" s="255"/>
      <c r="AM11" s="255"/>
      <c r="AN11" s="255"/>
      <c r="AO11" s="255"/>
      <c r="AP11" s="255"/>
      <c r="AQ11" s="255"/>
      <c r="AR11" s="255"/>
      <c r="AS11" s="255" t="s">
        <v>225</v>
      </c>
    </row>
    <row r="12" spans="1:45" ht="14.55" customHeight="1">
      <c r="A12" s="258" t="s">
        <v>225</v>
      </c>
      <c r="B12" s="553" t="s">
        <v>246</v>
      </c>
      <c r="C12" s="553"/>
      <c r="D12" s="261">
        <f>20+30</f>
        <v>50</v>
      </c>
      <c r="E12" s="255">
        <v>3</v>
      </c>
      <c r="F12" s="255"/>
      <c r="G12" s="255">
        <f>0.8*0.8*D12</f>
        <v>32.000000000000007</v>
      </c>
      <c r="H12" s="259" t="s">
        <v>225</v>
      </c>
      <c r="I12" s="255"/>
      <c r="J12" s="258" t="s">
        <v>225</v>
      </c>
      <c r="K12" s="269"/>
      <c r="L12" s="269"/>
      <c r="M12" s="269"/>
      <c r="N12" s="269"/>
      <c r="O12" s="269"/>
      <c r="P12" s="269"/>
      <c r="Q12" s="269"/>
      <c r="R12" s="269"/>
      <c r="S12" s="269"/>
      <c r="T12" s="269"/>
      <c r="U12" s="255"/>
      <c r="V12" s="255"/>
      <c r="W12" s="259"/>
      <c r="X12" s="255"/>
      <c r="Y12" s="258" t="s">
        <v>225</v>
      </c>
      <c r="Z12" s="255"/>
      <c r="AA12" s="255" t="s">
        <v>313</v>
      </c>
      <c r="AB12" s="255">
        <v>36</v>
      </c>
      <c r="AC12" s="255"/>
      <c r="AD12" s="255"/>
      <c r="AE12" s="255"/>
      <c r="AF12" s="255"/>
      <c r="AG12" s="255"/>
      <c r="AH12" s="255"/>
      <c r="AI12" s="255"/>
      <c r="AJ12" s="255"/>
      <c r="AK12" s="255"/>
      <c r="AL12" s="255"/>
      <c r="AM12" s="255"/>
      <c r="AN12" s="255"/>
      <c r="AO12" s="255"/>
      <c r="AP12" s="255"/>
      <c r="AQ12" s="255"/>
      <c r="AR12" s="255"/>
      <c r="AS12" s="255" t="s">
        <v>225</v>
      </c>
    </row>
    <row r="13" spans="1:45">
      <c r="A13" s="258" t="s">
        <v>225</v>
      </c>
      <c r="B13" s="553" t="s">
        <v>49</v>
      </c>
      <c r="C13" s="553"/>
      <c r="D13" s="261">
        <f>90+38</f>
        <v>128</v>
      </c>
      <c r="E13" s="255">
        <v>10</v>
      </c>
      <c r="F13" s="255"/>
      <c r="G13" s="255">
        <f>0.46*0.8*0.55*90+38*0.8*0.8*1.5</f>
        <v>54.696000000000012</v>
      </c>
      <c r="H13" s="259" t="s">
        <v>225</v>
      </c>
      <c r="I13" s="255"/>
      <c r="J13" s="258"/>
      <c r="K13" s="255" t="s">
        <v>299</v>
      </c>
      <c r="L13" s="252" t="s">
        <v>300</v>
      </c>
      <c r="M13" s="255" t="s">
        <v>301</v>
      </c>
      <c r="N13" s="252" t="s">
        <v>300</v>
      </c>
      <c r="O13" s="255" t="s">
        <v>302</v>
      </c>
      <c r="P13" s="252" t="s">
        <v>300</v>
      </c>
      <c r="Q13" s="255" t="s">
        <v>303</v>
      </c>
      <c r="R13" s="252" t="s">
        <v>300</v>
      </c>
      <c r="S13" s="255" t="s">
        <v>304</v>
      </c>
      <c r="T13" s="252" t="s">
        <v>300</v>
      </c>
      <c r="U13" s="255"/>
      <c r="V13" s="255"/>
      <c r="W13" s="255"/>
      <c r="X13" s="255"/>
      <c r="Y13" s="258" t="s">
        <v>225</v>
      </c>
      <c r="Z13" s="255"/>
      <c r="AA13" s="255" t="s">
        <v>314</v>
      </c>
      <c r="AB13" s="255">
        <f>AB12/15</f>
        <v>2.4</v>
      </c>
      <c r="AC13" s="255" t="s">
        <v>315</v>
      </c>
      <c r="AD13" s="255"/>
      <c r="AE13" s="255"/>
      <c r="AF13" s="255"/>
      <c r="AG13" s="255"/>
      <c r="AH13" s="255"/>
      <c r="AI13" s="255"/>
      <c r="AJ13" s="255"/>
      <c r="AK13" s="255"/>
      <c r="AL13" s="255"/>
      <c r="AM13" s="255"/>
      <c r="AN13" s="255"/>
      <c r="AO13" s="255"/>
      <c r="AP13" s="255"/>
      <c r="AQ13" s="255"/>
      <c r="AR13" s="255"/>
      <c r="AS13" s="255" t="s">
        <v>225</v>
      </c>
    </row>
    <row r="14" spans="1:45">
      <c r="A14" s="265" t="s">
        <v>225</v>
      </c>
      <c r="B14" s="554" t="s">
        <v>316</v>
      </c>
      <c r="C14" s="554"/>
      <c r="D14" s="266">
        <f>201+84</f>
        <v>285</v>
      </c>
      <c r="E14" s="267">
        <v>5</v>
      </c>
      <c r="F14" s="255"/>
      <c r="G14" s="267">
        <f>2*D14</f>
        <v>570</v>
      </c>
      <c r="H14" s="268" t="s">
        <v>225</v>
      </c>
      <c r="I14" s="255"/>
      <c r="K14" s="255"/>
      <c r="L14" s="252"/>
      <c r="M14" s="255"/>
      <c r="N14" s="252"/>
      <c r="O14" s="255">
        <f>D7</f>
        <v>73</v>
      </c>
      <c r="P14" s="252">
        <f>T7</f>
        <v>46.720000000000006</v>
      </c>
      <c r="Q14" s="255">
        <f>D14</f>
        <v>285</v>
      </c>
      <c r="R14" s="252">
        <f>R7</f>
        <v>570</v>
      </c>
      <c r="S14" s="255">
        <f>S6</f>
        <v>363</v>
      </c>
      <c r="T14" s="252">
        <f>T6</f>
        <v>726</v>
      </c>
      <c r="U14" s="269"/>
      <c r="V14" s="269"/>
      <c r="W14" s="269"/>
      <c r="X14" s="255"/>
      <c r="Y14" s="265" t="s">
        <v>225</v>
      </c>
      <c r="Z14" s="267" t="s">
        <v>225</v>
      </c>
      <c r="AA14" s="267" t="s">
        <v>317</v>
      </c>
      <c r="AB14" s="267">
        <v>3</v>
      </c>
      <c r="AC14" s="267"/>
      <c r="AD14" s="255"/>
      <c r="AE14" s="255"/>
      <c r="AF14" s="255"/>
      <c r="AG14" s="255"/>
      <c r="AH14" s="255"/>
      <c r="AI14" s="255"/>
      <c r="AJ14" s="255"/>
      <c r="AK14" s="255"/>
      <c r="AL14" s="255" t="s">
        <v>225</v>
      </c>
      <c r="AM14" s="255" t="s">
        <v>225</v>
      </c>
      <c r="AN14" s="255" t="s">
        <v>225</v>
      </c>
      <c r="AO14" s="255" t="s">
        <v>225</v>
      </c>
      <c r="AP14" s="255" t="s">
        <v>225</v>
      </c>
      <c r="AQ14" s="255" t="s">
        <v>225</v>
      </c>
      <c r="AR14" s="255" t="s">
        <v>225</v>
      </c>
      <c r="AS14" s="255" t="s">
        <v>225</v>
      </c>
    </row>
    <row r="15" spans="1:45">
      <c r="A15" s="255"/>
      <c r="B15" s="255"/>
      <c r="C15" s="255"/>
      <c r="D15" s="255"/>
      <c r="E15" s="255"/>
      <c r="F15" s="255"/>
      <c r="G15" s="255"/>
      <c r="H15" s="255"/>
      <c r="I15" s="255"/>
      <c r="J15" s="255"/>
      <c r="K15" s="255"/>
      <c r="L15" s="252"/>
      <c r="M15" s="255"/>
      <c r="N15" s="252"/>
      <c r="O15" s="255">
        <f>D12</f>
        <v>50</v>
      </c>
      <c r="P15" s="252">
        <f>T8</f>
        <v>32.000000000000007</v>
      </c>
      <c r="Q15" s="255"/>
      <c r="R15" s="252"/>
      <c r="S15" s="255"/>
      <c r="T15" s="252"/>
      <c r="U15" s="255"/>
      <c r="V15" s="255"/>
      <c r="W15" s="255"/>
      <c r="X15" s="255"/>
      <c r="Y15" s="255"/>
      <c r="Z15" s="255"/>
      <c r="AA15" s="255"/>
      <c r="AB15" s="255"/>
      <c r="AC15" s="255"/>
      <c r="AD15" s="255"/>
      <c r="AE15" s="255"/>
      <c r="AF15" s="255"/>
      <c r="AG15" s="255"/>
      <c r="AH15" s="255"/>
      <c r="AI15" s="255"/>
      <c r="AJ15" s="255"/>
      <c r="AK15" s="255"/>
      <c r="AL15" s="255"/>
      <c r="AM15" s="255"/>
      <c r="AN15" s="255"/>
      <c r="AO15" s="255"/>
      <c r="AP15" s="255"/>
      <c r="AQ15" s="255"/>
      <c r="AR15" s="255"/>
      <c r="AS15" s="255"/>
    </row>
    <row r="16" spans="1:45" ht="14.55" customHeight="1">
      <c r="A16" s="255"/>
      <c r="B16" s="255"/>
      <c r="C16" s="255"/>
      <c r="D16" s="255"/>
      <c r="E16" s="255"/>
      <c r="F16" s="255"/>
      <c r="G16" s="255"/>
      <c r="H16" s="276"/>
      <c r="I16" s="275"/>
      <c r="J16" s="255"/>
      <c r="K16" s="255"/>
      <c r="L16" s="252"/>
      <c r="M16" s="255"/>
      <c r="N16" s="252"/>
      <c r="O16" s="255"/>
      <c r="P16" s="252"/>
      <c r="Q16" s="255"/>
      <c r="R16" s="252"/>
      <c r="S16" s="255"/>
      <c r="T16" s="252"/>
      <c r="U16" s="255"/>
      <c r="V16" s="255"/>
      <c r="W16" s="255"/>
      <c r="X16" s="255"/>
      <c r="Y16" s="255"/>
      <c r="Z16" s="255"/>
      <c r="AA16" s="255"/>
      <c r="AB16" s="255"/>
      <c r="AC16" s="255"/>
      <c r="AD16" s="255"/>
      <c r="AE16" s="255"/>
      <c r="AF16" s="255"/>
      <c r="AG16" s="255"/>
      <c r="AH16" s="255"/>
      <c r="AI16" s="255"/>
      <c r="AJ16" s="255"/>
      <c r="AK16" s="255"/>
      <c r="AL16" s="255"/>
      <c r="AM16" s="255"/>
      <c r="AN16" s="255"/>
      <c r="AO16" s="255"/>
      <c r="AP16" s="255"/>
      <c r="AQ16" s="255"/>
      <c r="AR16" s="255"/>
      <c r="AS16" s="255"/>
    </row>
    <row r="17" spans="1:45" ht="14.55" customHeight="1">
      <c r="A17" s="257" t="s">
        <v>318</v>
      </c>
      <c r="B17" s="253" t="s">
        <v>225</v>
      </c>
      <c r="C17" s="253" t="s">
        <v>225</v>
      </c>
      <c r="D17" s="253" t="s">
        <v>225</v>
      </c>
      <c r="E17" s="253" t="s">
        <v>225</v>
      </c>
      <c r="F17" s="253" t="s">
        <v>225</v>
      </c>
      <c r="G17" s="253" t="s">
        <v>225</v>
      </c>
      <c r="H17" s="253" t="s">
        <v>225</v>
      </c>
      <c r="I17" s="253" t="s">
        <v>225</v>
      </c>
      <c r="J17" s="274" t="s">
        <v>225</v>
      </c>
      <c r="K17" s="255"/>
      <c r="L17" s="252"/>
      <c r="M17" s="255"/>
      <c r="N17" s="252"/>
      <c r="O17" s="255"/>
      <c r="P17" s="252"/>
      <c r="Q17" s="255"/>
      <c r="R17" s="252"/>
      <c r="S17" s="255"/>
      <c r="T17" s="252"/>
      <c r="U17" s="255"/>
      <c r="V17" s="255"/>
      <c r="W17" s="255"/>
      <c r="X17" s="255"/>
      <c r="Y17" s="255"/>
      <c r="Z17" s="255"/>
      <c r="AA17" s="255"/>
      <c r="AB17" s="255"/>
      <c r="AC17" s="255"/>
      <c r="AD17" s="255"/>
      <c r="AE17" s="255"/>
      <c r="AF17" s="255"/>
      <c r="AG17" s="255"/>
      <c r="AH17" s="255"/>
      <c r="AI17" s="255"/>
      <c r="AJ17" s="255"/>
      <c r="AK17" s="255"/>
      <c r="AL17" s="255"/>
      <c r="AM17" s="255"/>
      <c r="AN17" s="255"/>
      <c r="AO17" s="255"/>
      <c r="AP17" s="255"/>
      <c r="AQ17" s="255"/>
      <c r="AR17" s="255"/>
      <c r="AS17" s="255"/>
    </row>
    <row r="18" spans="1:45" ht="14.55" customHeight="1">
      <c r="A18" s="258" t="s">
        <v>225</v>
      </c>
      <c r="B18" s="255" t="s">
        <v>319</v>
      </c>
      <c r="C18" s="255"/>
      <c r="D18" s="255"/>
      <c r="E18" s="255"/>
      <c r="F18" s="255"/>
      <c r="G18" s="255"/>
      <c r="H18" s="255"/>
      <c r="I18" s="255"/>
      <c r="J18" s="274" t="s">
        <v>225</v>
      </c>
      <c r="K18" s="255"/>
      <c r="L18" s="252"/>
      <c r="M18" s="255"/>
      <c r="N18" s="252"/>
      <c r="O18" s="255"/>
      <c r="P18" s="252"/>
      <c r="Q18" s="255"/>
      <c r="R18" s="252"/>
      <c r="S18" s="255"/>
      <c r="T18" s="252"/>
      <c r="U18" s="255"/>
      <c r="V18" s="255"/>
      <c r="W18" s="255"/>
      <c r="X18" s="255"/>
      <c r="Y18" s="255"/>
      <c r="Z18" s="255"/>
      <c r="AA18" s="255"/>
      <c r="AB18" s="255"/>
      <c r="AC18" s="255"/>
      <c r="AD18" s="255"/>
      <c r="AE18" s="255"/>
      <c r="AF18" s="255"/>
      <c r="AG18" s="255"/>
      <c r="AH18" s="255"/>
      <c r="AI18" s="255"/>
      <c r="AJ18" s="255"/>
      <c r="AK18" s="255"/>
      <c r="AL18" s="255"/>
      <c r="AM18" s="255"/>
      <c r="AN18" s="255"/>
      <c r="AO18" s="255"/>
      <c r="AP18" s="255"/>
      <c r="AQ18" s="255"/>
      <c r="AR18" s="255"/>
      <c r="AS18" s="255"/>
    </row>
    <row r="19" spans="1:45" ht="14.55" customHeight="1">
      <c r="A19" s="258" t="s">
        <v>225</v>
      </c>
      <c r="B19" s="255"/>
      <c r="C19" s="255"/>
      <c r="D19" s="255"/>
      <c r="E19" s="255"/>
      <c r="F19" s="255"/>
      <c r="G19" s="255"/>
      <c r="H19" s="255"/>
      <c r="I19" s="255"/>
      <c r="J19" s="274" t="s">
        <v>225</v>
      </c>
      <c r="K19" s="255"/>
      <c r="L19" s="252"/>
      <c r="M19" s="255"/>
      <c r="N19" s="252"/>
      <c r="O19" s="263">
        <f t="shared" ref="O19:T19" si="0">SUM(O14:O15)</f>
        <v>123</v>
      </c>
      <c r="P19" s="264">
        <f t="shared" si="0"/>
        <v>78.720000000000013</v>
      </c>
      <c r="Q19" s="264">
        <f t="shared" si="0"/>
        <v>285</v>
      </c>
      <c r="R19" s="264">
        <f t="shared" si="0"/>
        <v>570</v>
      </c>
      <c r="S19" s="264">
        <f t="shared" si="0"/>
        <v>363</v>
      </c>
      <c r="T19" s="264">
        <f t="shared" si="0"/>
        <v>726</v>
      </c>
      <c r="U19" s="255"/>
      <c r="V19" s="255"/>
      <c r="W19" s="255"/>
      <c r="X19" s="255"/>
      <c r="Y19" s="255"/>
      <c r="Z19" s="255"/>
      <c r="AA19" s="255"/>
      <c r="AB19" s="255"/>
      <c r="AC19" s="255"/>
      <c r="AD19" s="255"/>
      <c r="AE19" s="255"/>
      <c r="AF19" s="255"/>
      <c r="AG19" s="255"/>
      <c r="AH19" s="255"/>
      <c r="AI19" s="255"/>
      <c r="AJ19" s="255"/>
      <c r="AK19" s="255"/>
      <c r="AL19" s="255"/>
      <c r="AM19" s="255"/>
      <c r="AN19" s="255"/>
      <c r="AO19" s="255"/>
      <c r="AP19" s="255"/>
      <c r="AQ19" s="255"/>
      <c r="AR19" s="255"/>
      <c r="AS19" s="255"/>
    </row>
    <row r="20" spans="1:45" ht="14.55" customHeight="1">
      <c r="A20" s="258" t="s">
        <v>225</v>
      </c>
      <c r="B20" s="255" t="s">
        <v>212</v>
      </c>
      <c r="C20" s="255">
        <f>K27</f>
        <v>918</v>
      </c>
      <c r="D20" s="255" t="s">
        <v>320</v>
      </c>
      <c r="E20" s="255"/>
      <c r="F20" s="255"/>
      <c r="G20" s="255"/>
      <c r="H20" s="255"/>
      <c r="I20" s="255"/>
      <c r="J20" s="274" t="s">
        <v>225</v>
      </c>
      <c r="K20" s="247"/>
      <c r="L20" s="247"/>
      <c r="M20" s="247"/>
      <c r="N20" s="247"/>
      <c r="O20" s="247"/>
      <c r="P20" s="247"/>
      <c r="Q20" s="247"/>
      <c r="R20" s="247"/>
      <c r="S20" s="247"/>
      <c r="T20" s="247"/>
      <c r="U20" s="269"/>
      <c r="V20" s="255"/>
      <c r="W20" s="255"/>
      <c r="X20" s="255"/>
      <c r="Y20" s="255"/>
      <c r="Z20" s="255"/>
      <c r="AA20" s="255"/>
      <c r="AB20" s="255"/>
      <c r="AC20" s="255"/>
      <c r="AD20" s="255"/>
      <c r="AE20" s="255"/>
      <c r="AF20" s="255"/>
      <c r="AG20" s="255"/>
      <c r="AH20" s="255"/>
      <c r="AI20" s="255"/>
      <c r="AJ20" s="255"/>
      <c r="AK20" s="255"/>
      <c r="AL20" s="255"/>
      <c r="AM20" s="255"/>
      <c r="AN20" s="255"/>
      <c r="AO20" s="255"/>
      <c r="AP20" s="255"/>
      <c r="AQ20" s="255"/>
      <c r="AR20" s="255"/>
      <c r="AS20" s="255"/>
    </row>
    <row r="21" spans="1:45" ht="14.55" customHeight="1">
      <c r="A21" s="258" t="s">
        <v>225</v>
      </c>
      <c r="B21" s="255" t="s">
        <v>321</v>
      </c>
      <c r="C21" s="255">
        <f>C20/15</f>
        <v>61.2</v>
      </c>
      <c r="D21" s="255" t="s">
        <v>321</v>
      </c>
      <c r="E21" s="255"/>
      <c r="F21" s="255"/>
      <c r="G21" s="255"/>
      <c r="H21" s="255"/>
      <c r="I21" s="255"/>
      <c r="J21" s="274" t="s">
        <v>225</v>
      </c>
      <c r="K21" s="255" t="s">
        <v>299</v>
      </c>
      <c r="L21" s="252" t="s">
        <v>300</v>
      </c>
      <c r="M21" s="255" t="s">
        <v>301</v>
      </c>
      <c r="N21" s="252" t="s">
        <v>300</v>
      </c>
      <c r="O21" s="255" t="s">
        <v>302</v>
      </c>
      <c r="P21" s="252" t="s">
        <v>300</v>
      </c>
      <c r="Q21" s="255" t="s">
        <v>303</v>
      </c>
      <c r="R21" s="252" t="s">
        <v>300</v>
      </c>
      <c r="S21" s="255" t="s">
        <v>304</v>
      </c>
      <c r="T21" s="252" t="s">
        <v>300</v>
      </c>
      <c r="U21" s="255"/>
      <c r="V21" s="255"/>
      <c r="W21" s="255"/>
      <c r="X21" s="255"/>
      <c r="Y21" s="255"/>
      <c r="Z21" s="255"/>
      <c r="AA21" s="255"/>
      <c r="AB21" s="255"/>
      <c r="AC21" s="255"/>
      <c r="AD21" s="255"/>
      <c r="AE21" s="255"/>
      <c r="AF21" s="255"/>
      <c r="AG21" s="255"/>
      <c r="AH21" s="255"/>
      <c r="AI21" s="255"/>
      <c r="AJ21" s="255"/>
      <c r="AK21" s="255"/>
      <c r="AL21" s="255"/>
      <c r="AM21" s="255"/>
      <c r="AN21" s="255"/>
      <c r="AO21" s="255"/>
      <c r="AP21" s="255"/>
      <c r="AQ21" s="255"/>
      <c r="AR21" s="255"/>
      <c r="AS21" s="255"/>
    </row>
    <row r="22" spans="1:45" ht="14.55" customHeight="1">
      <c r="A22" s="258" t="s">
        <v>225</v>
      </c>
      <c r="B22" s="255" t="s">
        <v>322</v>
      </c>
      <c r="C22" s="255">
        <v>45</v>
      </c>
      <c r="D22" s="255" t="s">
        <v>323</v>
      </c>
      <c r="E22" s="255">
        <v>0.75</v>
      </c>
      <c r="F22" s="255" t="s">
        <v>324</v>
      </c>
      <c r="G22" s="255" t="s">
        <v>325</v>
      </c>
      <c r="H22" s="255"/>
      <c r="I22" s="255"/>
      <c r="J22" s="274" t="s">
        <v>225</v>
      </c>
      <c r="K22" s="255">
        <f>D9</f>
        <v>795</v>
      </c>
      <c r="L22" s="252">
        <f>L6</f>
        <v>1590</v>
      </c>
      <c r="M22" s="255">
        <f>D11</f>
        <v>333</v>
      </c>
      <c r="N22" s="252">
        <f>N6</f>
        <v>208.5</v>
      </c>
      <c r="O22" s="255">
        <f>D6</f>
        <v>339</v>
      </c>
      <c r="P22" s="252">
        <f>P6</f>
        <v>215.85</v>
      </c>
      <c r="Q22" s="255">
        <f>D8</f>
        <v>189</v>
      </c>
      <c r="R22" s="252">
        <f>R6</f>
        <v>94.316000000000017</v>
      </c>
      <c r="S22" s="255">
        <f>S14</f>
        <v>363</v>
      </c>
      <c r="T22" s="252">
        <f>T14</f>
        <v>726</v>
      </c>
      <c r="U22" s="255"/>
      <c r="V22" s="255"/>
      <c r="W22" s="255"/>
      <c r="X22" s="255"/>
      <c r="Y22" s="255"/>
      <c r="Z22" s="255"/>
      <c r="AA22" s="255"/>
      <c r="AB22" s="255"/>
      <c r="AC22" s="255"/>
      <c r="AD22" s="255"/>
      <c r="AE22" s="255"/>
      <c r="AF22" s="255"/>
      <c r="AG22" s="255"/>
      <c r="AH22" s="255"/>
      <c r="AI22" s="255"/>
      <c r="AJ22" s="255"/>
      <c r="AK22" s="255"/>
      <c r="AL22" s="255"/>
      <c r="AM22" s="255"/>
      <c r="AN22" s="255"/>
      <c r="AO22" s="255"/>
      <c r="AP22" s="255"/>
      <c r="AQ22" s="255"/>
      <c r="AR22" s="255"/>
      <c r="AS22" s="255"/>
    </row>
    <row r="23" spans="1:45" ht="14.55" customHeight="1">
      <c r="A23" s="258" t="s">
        <v>225</v>
      </c>
      <c r="B23" s="255" t="s">
        <v>326</v>
      </c>
      <c r="C23" s="255">
        <v>45</v>
      </c>
      <c r="D23" s="255" t="s">
        <v>323</v>
      </c>
      <c r="E23" s="255">
        <v>0.75</v>
      </c>
      <c r="F23" s="255" t="s">
        <v>324</v>
      </c>
      <c r="G23" s="255" t="s">
        <v>327</v>
      </c>
      <c r="H23" s="255"/>
      <c r="I23" s="255"/>
      <c r="J23" s="274" t="s">
        <v>225</v>
      </c>
      <c r="K23" s="255">
        <f>D7</f>
        <v>73</v>
      </c>
      <c r="L23" s="252">
        <f>T7</f>
        <v>46.720000000000006</v>
      </c>
      <c r="M23" s="255"/>
      <c r="N23" s="252"/>
      <c r="O23" s="255"/>
      <c r="P23" s="252"/>
      <c r="Q23" s="255">
        <f>D14</f>
        <v>285</v>
      </c>
      <c r="R23" s="252">
        <f>R14</f>
        <v>570</v>
      </c>
      <c r="S23" s="255"/>
      <c r="T23" s="252"/>
      <c r="U23" s="255"/>
      <c r="V23" s="255"/>
      <c r="W23" s="255"/>
      <c r="X23" s="255"/>
      <c r="Y23" s="255"/>
      <c r="Z23" s="255"/>
      <c r="AA23" s="255"/>
      <c r="AB23" s="255"/>
      <c r="AC23" s="255"/>
      <c r="AD23" s="255"/>
      <c r="AE23" s="255"/>
      <c r="AF23" s="255"/>
      <c r="AG23" s="255"/>
      <c r="AH23" s="255"/>
      <c r="AI23" s="255"/>
      <c r="AJ23" s="255"/>
      <c r="AK23" s="255"/>
      <c r="AL23" s="255"/>
      <c r="AM23" s="255"/>
      <c r="AN23" s="255"/>
      <c r="AO23" s="255"/>
      <c r="AP23" s="255"/>
      <c r="AQ23" s="255"/>
      <c r="AR23" s="255"/>
      <c r="AS23" s="255"/>
    </row>
    <row r="24" spans="1:45" ht="14.55" customHeight="1">
      <c r="A24" s="258" t="s">
        <v>225</v>
      </c>
      <c r="B24" s="255" t="s">
        <v>328</v>
      </c>
      <c r="C24" s="255">
        <v>63.4</v>
      </c>
      <c r="D24" s="255" t="s">
        <v>288</v>
      </c>
      <c r="E24" s="255"/>
      <c r="F24" s="255"/>
      <c r="G24" s="255"/>
      <c r="H24" s="255"/>
      <c r="I24" s="255"/>
      <c r="J24" s="274" t="s">
        <v>225</v>
      </c>
      <c r="K24" s="255">
        <f>D12</f>
        <v>50</v>
      </c>
      <c r="L24" s="252">
        <f>T8</f>
        <v>32.000000000000007</v>
      </c>
      <c r="M24" s="255"/>
      <c r="N24" s="252"/>
      <c r="O24" s="255"/>
      <c r="P24" s="252"/>
      <c r="Q24" s="255">
        <f>D13</f>
        <v>128</v>
      </c>
      <c r="R24" s="252">
        <f>R8</f>
        <v>54.696000000000012</v>
      </c>
      <c r="S24" s="255"/>
      <c r="T24" s="252"/>
      <c r="U24" s="255"/>
      <c r="V24" s="255"/>
      <c r="W24" s="255"/>
      <c r="X24" s="255"/>
      <c r="Y24" s="255"/>
      <c r="Z24" s="255"/>
      <c r="AA24" s="255"/>
      <c r="AB24" s="255"/>
      <c r="AC24" s="255"/>
      <c r="AD24" s="255"/>
      <c r="AE24" s="255"/>
      <c r="AF24" s="255"/>
      <c r="AG24" s="255"/>
      <c r="AH24" s="255"/>
      <c r="AI24" s="255"/>
      <c r="AJ24" s="255"/>
      <c r="AK24" s="255"/>
      <c r="AL24" s="255"/>
      <c r="AM24" s="255"/>
      <c r="AN24" s="255"/>
      <c r="AO24" s="255"/>
      <c r="AP24" s="255"/>
      <c r="AQ24" s="255"/>
      <c r="AR24" s="255"/>
      <c r="AS24" s="255"/>
    </row>
    <row r="25" spans="1:45" ht="14.55" customHeight="1">
      <c r="A25" s="258" t="s">
        <v>225</v>
      </c>
      <c r="B25" s="255" t="s">
        <v>329</v>
      </c>
      <c r="C25" s="255">
        <f>ROUNDUP(L27/C24,0)</f>
        <v>27</v>
      </c>
      <c r="D25" s="255" t="s">
        <v>330</v>
      </c>
      <c r="E25" s="255"/>
      <c r="F25" s="255"/>
      <c r="G25" s="255"/>
      <c r="H25" s="255"/>
      <c r="I25" s="255"/>
      <c r="J25" s="274" t="s">
        <v>225</v>
      </c>
      <c r="K25" s="255"/>
      <c r="L25" s="252"/>
      <c r="M25" s="255"/>
      <c r="N25" s="252"/>
      <c r="O25" s="255"/>
      <c r="P25" s="252"/>
      <c r="Q25" s="255">
        <f>D7</f>
        <v>73</v>
      </c>
      <c r="R25" s="252">
        <f>T7</f>
        <v>46.720000000000006</v>
      </c>
      <c r="S25" s="255"/>
      <c r="T25" s="252"/>
      <c r="U25" s="255"/>
      <c r="V25" s="255"/>
      <c r="W25" s="255"/>
      <c r="X25" s="255"/>
      <c r="Y25" s="255"/>
      <c r="Z25" s="255"/>
      <c r="AA25" s="255"/>
      <c r="AB25" s="255"/>
      <c r="AC25" s="255"/>
      <c r="AD25" s="255"/>
      <c r="AE25" s="255"/>
      <c r="AF25" s="255"/>
      <c r="AG25" s="255"/>
      <c r="AH25" s="255"/>
      <c r="AI25" s="255"/>
      <c r="AJ25" s="255"/>
      <c r="AK25" s="255"/>
      <c r="AL25" s="255"/>
      <c r="AM25" s="255"/>
      <c r="AN25" s="255"/>
      <c r="AO25" s="255"/>
      <c r="AP25" s="255"/>
      <c r="AQ25" s="255"/>
      <c r="AR25" s="255"/>
      <c r="AS25" s="255"/>
    </row>
    <row r="26" spans="1:45" ht="14.55" customHeight="1">
      <c r="A26" s="258" t="s">
        <v>225</v>
      </c>
      <c r="B26" s="255" t="s">
        <v>331</v>
      </c>
      <c r="C26" s="255" t="s">
        <v>332</v>
      </c>
      <c r="D26" s="255"/>
      <c r="E26" s="255" t="s">
        <v>333</v>
      </c>
      <c r="F26" s="255"/>
      <c r="G26" s="255"/>
      <c r="H26" s="255"/>
      <c r="I26" s="255"/>
      <c r="J26" s="274" t="s">
        <v>225</v>
      </c>
      <c r="K26" s="255"/>
      <c r="L26" s="252"/>
      <c r="M26" s="255"/>
      <c r="N26" s="252"/>
      <c r="O26" s="255"/>
      <c r="P26" s="252"/>
      <c r="Q26" s="255">
        <f>D12</f>
        <v>50</v>
      </c>
      <c r="R26" s="252">
        <f>T8</f>
        <v>32.000000000000007</v>
      </c>
      <c r="S26" s="255"/>
      <c r="T26" s="252"/>
      <c r="U26" s="255"/>
      <c r="V26" s="255"/>
      <c r="W26" s="255"/>
      <c r="X26" s="255"/>
      <c r="Y26" s="255"/>
      <c r="Z26" s="255"/>
      <c r="AA26" s="255"/>
      <c r="AB26" s="255"/>
      <c r="AC26" s="255"/>
      <c r="AD26" s="255"/>
      <c r="AE26" s="255"/>
      <c r="AF26" s="255"/>
      <c r="AG26" s="255"/>
      <c r="AH26" s="255"/>
      <c r="AI26" s="255"/>
      <c r="AJ26" s="255"/>
      <c r="AK26" s="255"/>
      <c r="AL26" s="255"/>
      <c r="AM26" s="255"/>
      <c r="AN26" s="255"/>
      <c r="AO26" s="255"/>
      <c r="AP26" s="255"/>
      <c r="AQ26" s="255"/>
      <c r="AR26" s="255"/>
      <c r="AS26" s="255"/>
    </row>
    <row r="27" spans="1:45" ht="14.55" customHeight="1">
      <c r="A27" s="258" t="s">
        <v>225</v>
      </c>
      <c r="B27" s="255" t="s">
        <v>334</v>
      </c>
      <c r="C27" s="269">
        <v>3</v>
      </c>
      <c r="D27" s="255" t="s">
        <v>335</v>
      </c>
      <c r="E27" s="255" t="s">
        <v>336</v>
      </c>
      <c r="F27" s="255"/>
      <c r="G27" s="255"/>
      <c r="H27" s="255"/>
      <c r="I27" s="255"/>
      <c r="J27" s="274" t="s">
        <v>225</v>
      </c>
      <c r="K27" s="277">
        <f>SUM(K22:K24)</f>
        <v>918</v>
      </c>
      <c r="L27" s="277">
        <f>SUM(L22:L26)</f>
        <v>1668.72</v>
      </c>
      <c r="M27" s="252">
        <f t="shared" ref="M27:T27" si="1">SUM(M22:M26)</f>
        <v>333</v>
      </c>
      <c r="N27" s="252">
        <f t="shared" si="1"/>
        <v>208.5</v>
      </c>
      <c r="O27" s="252">
        <f t="shared" si="1"/>
        <v>339</v>
      </c>
      <c r="P27" s="252">
        <f t="shared" si="1"/>
        <v>215.85</v>
      </c>
      <c r="Q27" s="252">
        <f t="shared" si="1"/>
        <v>725</v>
      </c>
      <c r="R27" s="252">
        <f t="shared" si="1"/>
        <v>797.73200000000008</v>
      </c>
      <c r="S27" s="252">
        <f t="shared" si="1"/>
        <v>363</v>
      </c>
      <c r="T27" s="252">
        <f t="shared" si="1"/>
        <v>726</v>
      </c>
      <c r="U27" s="255"/>
      <c r="V27" s="255"/>
      <c r="W27" s="255"/>
      <c r="X27" s="255"/>
      <c r="Y27" s="255"/>
      <c r="Z27" s="255"/>
      <c r="AA27" s="255"/>
      <c r="AB27" s="255"/>
      <c r="AC27" s="255"/>
      <c r="AD27" s="255"/>
      <c r="AE27" s="255"/>
      <c r="AF27" s="255"/>
      <c r="AG27" s="255"/>
      <c r="AH27" s="255"/>
      <c r="AI27" s="255"/>
      <c r="AJ27" s="255"/>
      <c r="AK27" s="255"/>
      <c r="AL27" s="255"/>
      <c r="AM27" s="255"/>
      <c r="AN27" s="255"/>
      <c r="AO27" s="255"/>
      <c r="AP27" s="255"/>
      <c r="AQ27" s="255"/>
      <c r="AR27" s="255"/>
      <c r="AS27" s="255"/>
    </row>
    <row r="28" spans="1:45" ht="14.55" customHeight="1">
      <c r="A28" s="258" t="s">
        <v>225</v>
      </c>
      <c r="B28" s="255" t="s">
        <v>212</v>
      </c>
      <c r="C28" s="255">
        <f>ROUNDUP(K27/15,0)</f>
        <v>62</v>
      </c>
      <c r="D28" s="255" t="s">
        <v>337</v>
      </c>
      <c r="E28" s="255"/>
      <c r="F28" s="255"/>
      <c r="G28" s="255"/>
      <c r="H28" s="255"/>
      <c r="I28" s="255"/>
      <c r="J28" s="274" t="s">
        <v>225</v>
      </c>
      <c r="K28" s="247"/>
      <c r="L28" s="247"/>
      <c r="M28" s="247"/>
      <c r="N28" s="247"/>
      <c r="O28" s="247"/>
      <c r="P28" s="247"/>
      <c r="Q28" s="247"/>
      <c r="R28" s="247"/>
      <c r="S28" s="247"/>
      <c r="T28" s="247"/>
      <c r="U28" s="255"/>
      <c r="V28" s="255"/>
      <c r="W28" s="255"/>
      <c r="X28" s="255"/>
      <c r="Y28" s="255"/>
      <c r="Z28" s="255"/>
      <c r="AA28" s="255"/>
      <c r="AB28" s="255"/>
      <c r="AC28" s="255"/>
      <c r="AD28" s="255"/>
      <c r="AE28" s="255"/>
      <c r="AF28" s="255"/>
      <c r="AG28" s="255"/>
      <c r="AH28" s="255"/>
      <c r="AI28" s="255"/>
      <c r="AJ28" s="255"/>
      <c r="AK28" s="255"/>
      <c r="AL28" s="255"/>
      <c r="AM28" s="255"/>
      <c r="AN28" s="255"/>
      <c r="AO28" s="255"/>
      <c r="AP28" s="255"/>
      <c r="AQ28" s="255"/>
      <c r="AR28" s="255"/>
      <c r="AS28" s="255"/>
    </row>
    <row r="29" spans="1:45" ht="14.55" customHeight="1">
      <c r="A29" s="258" t="s">
        <v>225</v>
      </c>
      <c r="B29" s="255" t="s">
        <v>338</v>
      </c>
      <c r="C29" s="255">
        <f>ROUNDUP(C27*E22,0)</f>
        <v>3</v>
      </c>
      <c r="D29" s="255" t="s">
        <v>339</v>
      </c>
      <c r="E29" s="255"/>
      <c r="F29" s="255"/>
      <c r="G29" s="255"/>
      <c r="H29" s="255"/>
      <c r="I29" s="255"/>
      <c r="J29" s="274" t="s">
        <v>225</v>
      </c>
      <c r="K29" s="255" t="s">
        <v>299</v>
      </c>
      <c r="L29" s="252" t="s">
        <v>300</v>
      </c>
      <c r="M29" s="255" t="s">
        <v>301</v>
      </c>
      <c r="N29" s="252" t="s">
        <v>300</v>
      </c>
      <c r="O29" s="255" t="s">
        <v>302</v>
      </c>
      <c r="P29" s="252" t="s">
        <v>300</v>
      </c>
      <c r="Q29" s="255" t="s">
        <v>303</v>
      </c>
      <c r="R29" s="252" t="s">
        <v>300</v>
      </c>
      <c r="S29" s="255" t="s">
        <v>304</v>
      </c>
      <c r="T29" s="252" t="s">
        <v>300</v>
      </c>
      <c r="U29" s="255"/>
      <c r="V29" s="255"/>
      <c r="W29" s="255"/>
      <c r="X29" s="255"/>
      <c r="Y29" s="255"/>
      <c r="Z29" s="255"/>
      <c r="AA29" s="255"/>
      <c r="AB29" s="255"/>
      <c r="AC29" s="255"/>
      <c r="AD29" s="255"/>
      <c r="AE29" s="255"/>
      <c r="AF29" s="255"/>
      <c r="AG29" s="255"/>
      <c r="AH29" s="255"/>
      <c r="AI29" s="255"/>
      <c r="AJ29" s="255"/>
      <c r="AK29" s="255"/>
      <c r="AL29" s="255"/>
      <c r="AM29" s="255"/>
      <c r="AN29" s="255"/>
      <c r="AO29" s="255"/>
      <c r="AP29" s="255"/>
      <c r="AQ29" s="255"/>
      <c r="AR29" s="255"/>
      <c r="AS29" s="255"/>
    </row>
    <row r="30" spans="1:45">
      <c r="A30" s="258" t="s">
        <v>225</v>
      </c>
      <c r="B30" s="255" t="s">
        <v>340</v>
      </c>
      <c r="C30" s="255">
        <f>C28*E23*2*1</f>
        <v>93</v>
      </c>
      <c r="D30" s="255" t="s">
        <v>341</v>
      </c>
      <c r="E30" s="255"/>
      <c r="F30" s="255"/>
      <c r="G30" s="255"/>
      <c r="H30" s="255"/>
      <c r="I30" s="255"/>
      <c r="J30" s="274" t="s">
        <v>225</v>
      </c>
      <c r="K30" s="255"/>
      <c r="L30" s="252"/>
      <c r="M30" s="255">
        <f>D7</f>
        <v>73</v>
      </c>
      <c r="N30" s="252">
        <f>T7</f>
        <v>46.720000000000006</v>
      </c>
      <c r="O30" s="255"/>
      <c r="P30" s="252"/>
      <c r="Q30" s="255">
        <f>D14</f>
        <v>285</v>
      </c>
      <c r="R30" s="252">
        <f>R23</f>
        <v>570</v>
      </c>
      <c r="S30" s="255">
        <f>S22</f>
        <v>363</v>
      </c>
      <c r="T30" s="252">
        <f>T22</f>
        <v>726</v>
      </c>
      <c r="U30" s="255"/>
      <c r="V30" s="255"/>
      <c r="W30" s="255"/>
      <c r="X30" s="255"/>
      <c r="Y30" s="255"/>
      <c r="Z30" s="255"/>
      <c r="AA30" s="255"/>
      <c r="AB30" s="255"/>
      <c r="AC30" s="255"/>
      <c r="AD30" s="255"/>
      <c r="AE30" s="255"/>
      <c r="AF30" s="255"/>
      <c r="AG30" s="255"/>
      <c r="AH30" s="255"/>
      <c r="AI30" s="255"/>
      <c r="AJ30" s="255"/>
      <c r="AK30" s="255"/>
      <c r="AL30" s="255"/>
      <c r="AM30" s="255"/>
      <c r="AN30" s="255"/>
      <c r="AO30" s="255"/>
      <c r="AP30" s="255"/>
      <c r="AQ30" s="255"/>
      <c r="AR30" s="255"/>
      <c r="AS30" s="255"/>
    </row>
    <row r="31" spans="1:45">
      <c r="A31" s="258" t="s">
        <v>225</v>
      </c>
      <c r="B31" s="255" t="s">
        <v>342</v>
      </c>
      <c r="C31" s="255">
        <f>C30/C29</f>
        <v>31</v>
      </c>
      <c r="D31" s="255" t="s">
        <v>341</v>
      </c>
      <c r="E31" s="255"/>
      <c r="F31" s="255"/>
      <c r="G31" s="255"/>
      <c r="H31" s="255"/>
      <c r="I31" s="255"/>
      <c r="J31" s="274" t="s">
        <v>225</v>
      </c>
      <c r="K31" s="255"/>
      <c r="L31" s="252"/>
      <c r="M31" s="255">
        <f>D12</f>
        <v>50</v>
      </c>
      <c r="N31" s="252">
        <f>T8</f>
        <v>32.000000000000007</v>
      </c>
      <c r="O31" s="255"/>
      <c r="P31" s="252"/>
      <c r="Q31" s="255"/>
      <c r="R31" s="252"/>
      <c r="S31" s="255">
        <f>D7</f>
        <v>73</v>
      </c>
      <c r="T31" s="252">
        <f>T7</f>
        <v>46.720000000000006</v>
      </c>
      <c r="U31" s="255"/>
      <c r="V31" s="255"/>
      <c r="W31" s="255"/>
      <c r="X31" s="255"/>
      <c r="Y31" s="255"/>
      <c r="Z31" s="255"/>
      <c r="AA31" s="255"/>
      <c r="AB31" s="255"/>
      <c r="AC31" s="255"/>
      <c r="AD31" s="255"/>
      <c r="AE31" s="255"/>
      <c r="AF31" s="255"/>
      <c r="AG31" s="255"/>
      <c r="AH31" s="255"/>
      <c r="AI31" s="255"/>
      <c r="AJ31" s="255"/>
      <c r="AK31" s="255"/>
      <c r="AL31" s="255"/>
      <c r="AM31" s="255"/>
      <c r="AN31" s="255"/>
      <c r="AO31" s="255"/>
      <c r="AP31" s="255"/>
      <c r="AQ31" s="255"/>
      <c r="AR31" s="255"/>
      <c r="AS31" s="255"/>
    </row>
    <row r="32" spans="1:45">
      <c r="A32" s="258" t="s">
        <v>225</v>
      </c>
      <c r="B32" s="255"/>
      <c r="C32" s="255"/>
      <c r="D32" s="255"/>
      <c r="E32" s="255"/>
      <c r="F32" s="255"/>
      <c r="G32" s="255"/>
      <c r="H32" s="255"/>
      <c r="I32" s="255"/>
      <c r="J32" s="274" t="s">
        <v>225</v>
      </c>
      <c r="K32" s="255"/>
      <c r="L32" s="252"/>
      <c r="M32" s="255"/>
      <c r="N32" s="252"/>
      <c r="O32" s="255"/>
      <c r="P32" s="252"/>
      <c r="Q32" s="255"/>
      <c r="R32" s="252"/>
      <c r="S32" s="255">
        <f>D12</f>
        <v>50</v>
      </c>
      <c r="T32" s="252">
        <f>T8</f>
        <v>32.000000000000007</v>
      </c>
      <c r="U32" s="255"/>
      <c r="V32" s="255"/>
      <c r="W32" s="255"/>
      <c r="X32" s="255"/>
      <c r="Y32" s="255"/>
      <c r="Z32" s="255"/>
      <c r="AA32" s="255"/>
      <c r="AB32" s="255"/>
      <c r="AC32" s="255"/>
      <c r="AD32" s="255"/>
      <c r="AE32" s="255"/>
      <c r="AF32" s="255"/>
      <c r="AG32" s="255"/>
      <c r="AH32" s="255"/>
      <c r="AI32" s="255"/>
      <c r="AJ32" s="255"/>
      <c r="AK32" s="255"/>
      <c r="AL32" s="255"/>
      <c r="AM32" s="255"/>
      <c r="AN32" s="255"/>
      <c r="AO32" s="255"/>
      <c r="AP32" s="255"/>
      <c r="AQ32" s="255"/>
      <c r="AR32" s="255"/>
      <c r="AS32" s="255"/>
    </row>
    <row r="33" spans="1:45">
      <c r="A33" s="258" t="s">
        <v>225</v>
      </c>
      <c r="B33" s="255"/>
      <c r="C33" s="255"/>
      <c r="D33" s="255"/>
      <c r="E33" s="255"/>
      <c r="F33" s="255"/>
      <c r="G33" s="255"/>
      <c r="H33" s="255"/>
      <c r="I33" s="255"/>
      <c r="J33" s="274" t="s">
        <v>225</v>
      </c>
      <c r="K33" s="255"/>
      <c r="L33" s="252"/>
      <c r="M33" s="255"/>
      <c r="N33" s="252"/>
      <c r="O33" s="255"/>
      <c r="P33" s="252"/>
      <c r="Q33" s="255"/>
      <c r="R33" s="252"/>
      <c r="S33" s="255"/>
      <c r="T33" s="252"/>
      <c r="U33" s="255"/>
      <c r="V33" s="255"/>
      <c r="W33" s="255"/>
      <c r="X33" s="255"/>
      <c r="Y33" s="255"/>
      <c r="Z33" s="255"/>
      <c r="AA33" s="255"/>
      <c r="AB33" s="255"/>
      <c r="AC33" s="255"/>
      <c r="AD33" s="255"/>
      <c r="AE33" s="255"/>
      <c r="AF33" s="255"/>
      <c r="AG33" s="255"/>
      <c r="AH33" s="255"/>
      <c r="AI33" s="255"/>
      <c r="AJ33" s="255"/>
      <c r="AK33" s="255"/>
      <c r="AL33" s="255"/>
      <c r="AM33" s="255"/>
      <c r="AN33" s="255"/>
      <c r="AO33" s="255"/>
      <c r="AP33" s="255"/>
      <c r="AQ33" s="255"/>
      <c r="AR33" s="255"/>
      <c r="AS33" s="255"/>
    </row>
    <row r="34" spans="1:45">
      <c r="A34" s="258" t="s">
        <v>225</v>
      </c>
      <c r="B34" s="255"/>
      <c r="C34" s="255"/>
      <c r="D34" s="255"/>
      <c r="E34" s="255"/>
      <c r="F34" s="255"/>
      <c r="G34" s="255"/>
      <c r="H34" s="255"/>
      <c r="I34" s="255"/>
      <c r="J34" s="274" t="s">
        <v>225</v>
      </c>
      <c r="K34" s="255"/>
      <c r="L34" s="252"/>
      <c r="M34" s="255"/>
      <c r="N34" s="252"/>
      <c r="O34" s="255"/>
      <c r="P34" s="252"/>
      <c r="Q34" s="255"/>
      <c r="R34" s="252"/>
      <c r="S34" s="255"/>
      <c r="T34" s="252"/>
      <c r="U34" s="255"/>
      <c r="V34" s="255"/>
      <c r="W34" s="255"/>
      <c r="X34" s="255"/>
      <c r="Y34" s="255"/>
      <c r="Z34" s="255"/>
      <c r="AA34" s="255"/>
      <c r="AB34" s="255"/>
      <c r="AC34" s="255"/>
      <c r="AD34" s="255"/>
      <c r="AE34" s="255"/>
      <c r="AF34" s="255"/>
      <c r="AG34" s="255"/>
      <c r="AH34" s="255"/>
      <c r="AI34" s="255"/>
      <c r="AJ34" s="255"/>
      <c r="AK34" s="255"/>
      <c r="AL34" s="255"/>
      <c r="AM34" s="255"/>
      <c r="AN34" s="255"/>
      <c r="AO34" s="255"/>
      <c r="AP34" s="255"/>
      <c r="AQ34" s="255"/>
      <c r="AR34" s="255"/>
      <c r="AS34" s="255"/>
    </row>
    <row r="35" spans="1:45">
      <c r="A35" s="258" t="s">
        <v>225</v>
      </c>
      <c r="B35" s="255"/>
      <c r="C35" s="255" t="s">
        <v>343</v>
      </c>
      <c r="D35" s="255"/>
      <c r="E35" s="255"/>
      <c r="F35" s="255"/>
      <c r="G35" s="255"/>
      <c r="H35" s="255"/>
      <c r="I35" s="255"/>
      <c r="J35" s="274" t="s">
        <v>225</v>
      </c>
      <c r="K35" s="255"/>
      <c r="L35" s="255"/>
      <c r="M35" s="255">
        <f t="shared" ref="M35:T35" si="2">SUM(M30:M34)</f>
        <v>123</v>
      </c>
      <c r="N35" s="255">
        <f t="shared" si="2"/>
        <v>78.720000000000013</v>
      </c>
      <c r="O35" s="255"/>
      <c r="P35" s="255"/>
      <c r="Q35" s="255">
        <f t="shared" si="2"/>
        <v>285</v>
      </c>
      <c r="R35" s="255">
        <f t="shared" si="2"/>
        <v>570</v>
      </c>
      <c r="S35" s="255">
        <f t="shared" si="2"/>
        <v>486</v>
      </c>
      <c r="T35" s="255">
        <f t="shared" si="2"/>
        <v>804.72</v>
      </c>
      <c r="U35" s="255"/>
      <c r="V35" s="255"/>
      <c r="W35" s="255"/>
      <c r="X35" s="255"/>
      <c r="Y35" s="255"/>
      <c r="Z35" s="255"/>
      <c r="AA35" s="255"/>
      <c r="AB35" s="255"/>
      <c r="AC35" s="255"/>
      <c r="AD35" s="255"/>
      <c r="AE35" s="255"/>
      <c r="AF35" s="255"/>
      <c r="AG35" s="255"/>
      <c r="AH35" s="255"/>
      <c r="AI35" s="255"/>
      <c r="AJ35" s="255"/>
      <c r="AK35" s="255"/>
      <c r="AL35" s="255"/>
      <c r="AM35" s="255"/>
      <c r="AN35" s="255"/>
      <c r="AO35" s="255"/>
      <c r="AP35" s="255"/>
      <c r="AQ35" s="255"/>
      <c r="AR35" s="255"/>
      <c r="AS35" s="255"/>
    </row>
    <row r="36" spans="1:45" ht="14.55" customHeight="1">
      <c r="A36" s="258" t="s">
        <v>225</v>
      </c>
      <c r="B36" s="255" t="s">
        <v>344</v>
      </c>
      <c r="C36" s="255">
        <v>3</v>
      </c>
      <c r="D36" s="255"/>
      <c r="E36" s="255"/>
      <c r="F36" s="255"/>
      <c r="G36" s="255"/>
      <c r="H36" s="255"/>
      <c r="I36" s="255"/>
      <c r="J36" s="274" t="s">
        <v>225</v>
      </c>
      <c r="U36" s="255"/>
      <c r="V36" s="255"/>
      <c r="W36" s="255"/>
      <c r="X36" s="255"/>
      <c r="Y36" s="255"/>
      <c r="Z36" s="255"/>
      <c r="AA36" s="255"/>
      <c r="AB36" s="255"/>
      <c r="AC36" s="255"/>
      <c r="AD36" s="255"/>
      <c r="AE36" s="255"/>
      <c r="AF36" s="255"/>
      <c r="AG36" s="255"/>
      <c r="AH36" s="255"/>
      <c r="AI36" s="255"/>
      <c r="AJ36" s="255"/>
      <c r="AK36" s="255"/>
      <c r="AL36" s="255"/>
      <c r="AM36" s="255"/>
      <c r="AN36" s="255"/>
      <c r="AO36" s="255"/>
      <c r="AP36" s="255"/>
      <c r="AQ36" s="255"/>
      <c r="AR36" s="255"/>
      <c r="AS36" s="255"/>
    </row>
    <row r="37" spans="1:45" ht="14.55" customHeight="1">
      <c r="A37" s="258" t="s">
        <v>225</v>
      </c>
      <c r="B37" s="255" t="s">
        <v>345</v>
      </c>
      <c r="C37" s="255">
        <v>2.4</v>
      </c>
      <c r="D37" s="255" t="s">
        <v>346</v>
      </c>
      <c r="E37" s="255"/>
      <c r="F37" s="255"/>
      <c r="G37" s="255"/>
      <c r="H37" s="255"/>
      <c r="I37" s="255"/>
      <c r="J37" s="274" t="s">
        <v>225</v>
      </c>
      <c r="K37" s="255"/>
      <c r="L37" s="255"/>
      <c r="M37" s="255"/>
      <c r="N37" s="255"/>
      <c r="O37" s="255"/>
      <c r="P37" s="255"/>
      <c r="Q37" s="255"/>
      <c r="R37" s="255"/>
      <c r="S37" s="255"/>
      <c r="T37" s="255"/>
      <c r="U37" s="255"/>
      <c r="V37" s="255"/>
      <c r="W37" s="255"/>
      <c r="X37" s="255"/>
      <c r="Y37" s="255"/>
      <c r="Z37" s="255"/>
      <c r="AA37" s="255"/>
      <c r="AB37" s="255"/>
      <c r="AC37" s="255"/>
      <c r="AD37" s="255"/>
      <c r="AE37" s="255"/>
      <c r="AF37" s="255"/>
      <c r="AG37" s="255"/>
      <c r="AH37" s="255"/>
      <c r="AI37" s="255"/>
      <c r="AJ37" s="255"/>
      <c r="AK37" s="255"/>
      <c r="AL37" s="255"/>
      <c r="AM37" s="255"/>
      <c r="AN37" s="255"/>
      <c r="AO37" s="255"/>
      <c r="AP37" s="255"/>
      <c r="AQ37" s="255"/>
      <c r="AR37" s="255"/>
      <c r="AS37" s="255"/>
    </row>
    <row r="38" spans="1:45">
      <c r="A38" s="258" t="s">
        <v>225</v>
      </c>
      <c r="B38" s="255" t="s">
        <v>347</v>
      </c>
      <c r="C38" s="255">
        <v>0.5</v>
      </c>
      <c r="D38" s="255" t="s">
        <v>346</v>
      </c>
      <c r="E38" s="255" t="s">
        <v>348</v>
      </c>
      <c r="F38" s="255"/>
      <c r="G38" s="255"/>
      <c r="H38" s="255"/>
      <c r="I38" s="255"/>
      <c r="J38" s="274" t="s">
        <v>225</v>
      </c>
      <c r="K38" s="255"/>
      <c r="L38" s="255"/>
      <c r="M38" s="255"/>
      <c r="N38" s="255"/>
      <c r="O38" s="255"/>
      <c r="P38" s="255"/>
      <c r="Q38" s="255"/>
      <c r="R38" s="255"/>
      <c r="S38" s="255"/>
      <c r="T38" s="255"/>
      <c r="U38" s="255"/>
      <c r="V38" s="255"/>
      <c r="W38" s="255"/>
      <c r="X38" s="255"/>
      <c r="Y38" s="255"/>
      <c r="Z38" s="255"/>
      <c r="AA38" s="255"/>
      <c r="AB38" s="255"/>
      <c r="AC38" s="255"/>
      <c r="AD38" s="255"/>
      <c r="AE38" s="255"/>
      <c r="AF38" s="255"/>
      <c r="AG38" s="255"/>
      <c r="AH38" s="255"/>
      <c r="AI38" s="255"/>
      <c r="AJ38" s="255"/>
      <c r="AK38" s="255"/>
      <c r="AL38" s="255"/>
      <c r="AM38" s="255"/>
      <c r="AN38" s="255"/>
      <c r="AO38" s="255"/>
      <c r="AP38" s="255"/>
      <c r="AQ38" s="255"/>
      <c r="AR38" s="255"/>
      <c r="AS38" s="255"/>
    </row>
    <row r="39" spans="1:45">
      <c r="A39" s="265" t="s">
        <v>225</v>
      </c>
      <c r="B39" s="267" t="s">
        <v>349</v>
      </c>
      <c r="C39" s="267">
        <v>3.4</v>
      </c>
      <c r="D39" s="267" t="s">
        <v>346</v>
      </c>
      <c r="E39" s="267" t="s">
        <v>225</v>
      </c>
      <c r="F39" s="267" t="s">
        <v>225</v>
      </c>
      <c r="G39" s="267" t="s">
        <v>225</v>
      </c>
      <c r="H39" s="267" t="s">
        <v>225</v>
      </c>
      <c r="I39" s="267" t="s">
        <v>225</v>
      </c>
      <c r="J39" s="274" t="s">
        <v>225</v>
      </c>
      <c r="K39" s="255"/>
      <c r="L39" s="255"/>
      <c r="M39" s="255"/>
      <c r="N39" s="255"/>
      <c r="O39" s="255"/>
      <c r="P39" s="255"/>
      <c r="Q39" s="255"/>
      <c r="R39" s="255"/>
      <c r="S39" s="255"/>
      <c r="T39" s="255"/>
      <c r="U39" s="255"/>
      <c r="V39" s="255"/>
      <c r="W39" s="255"/>
      <c r="X39" s="255"/>
      <c r="Y39" s="255"/>
      <c r="Z39" s="255"/>
      <c r="AA39" s="255"/>
      <c r="AB39" s="255"/>
      <c r="AC39" s="255"/>
      <c r="AD39" s="255"/>
      <c r="AE39" s="255"/>
      <c r="AF39" s="255"/>
      <c r="AG39" s="255"/>
      <c r="AH39" s="255"/>
      <c r="AI39" s="255"/>
      <c r="AJ39" s="255"/>
      <c r="AK39" s="255"/>
      <c r="AL39" s="255"/>
      <c r="AM39" s="255"/>
      <c r="AN39" s="255"/>
      <c r="AO39" s="255"/>
      <c r="AP39" s="255"/>
      <c r="AQ39" s="255"/>
      <c r="AR39" s="255"/>
      <c r="AS39" s="255"/>
    </row>
  </sheetData>
  <mergeCells count="9">
    <mergeCell ref="A9:C9"/>
    <mergeCell ref="B13:C13"/>
    <mergeCell ref="B14:C14"/>
    <mergeCell ref="B6:C6"/>
    <mergeCell ref="B7:C7"/>
    <mergeCell ref="B8:C8"/>
    <mergeCell ref="B10:C10"/>
    <mergeCell ref="B11:C11"/>
    <mergeCell ref="B12:C12"/>
  </mergeCells>
  <phoneticPr fontId="25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33521-1AF5-4D8E-A12A-F1A996F8BD46}">
  <dimension ref="A1:Q25"/>
  <sheetViews>
    <sheetView workbookViewId="0">
      <selection activeCell="I25" sqref="I25"/>
    </sheetView>
  </sheetViews>
  <sheetFormatPr defaultColWidth="8.796875" defaultRowHeight="14.25"/>
  <cols>
    <col min="2" max="3" width="10.796875" customWidth="1"/>
  </cols>
  <sheetData>
    <row r="1" spans="1:17">
      <c r="A1" s="255"/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  <c r="Q1" s="255"/>
    </row>
    <row r="2" spans="1:17">
      <c r="A2" s="255"/>
      <c r="B2" s="270" t="s">
        <v>225</v>
      </c>
      <c r="C2" s="271" t="s">
        <v>350</v>
      </c>
      <c r="D2" s="260"/>
      <c r="E2" s="260"/>
      <c r="F2" s="271" t="s">
        <v>225</v>
      </c>
      <c r="G2" s="253" t="s">
        <v>225</v>
      </c>
      <c r="H2" s="253" t="s">
        <v>225</v>
      </c>
      <c r="I2" s="253" t="s">
        <v>225</v>
      </c>
      <c r="J2" s="253" t="s">
        <v>225</v>
      </c>
      <c r="K2" s="253" t="s">
        <v>225</v>
      </c>
      <c r="L2" s="253" t="s">
        <v>225</v>
      </c>
      <c r="M2" s="253" t="s">
        <v>225</v>
      </c>
      <c r="N2" s="253" t="s">
        <v>225</v>
      </c>
      <c r="O2" s="253" t="s">
        <v>225</v>
      </c>
      <c r="P2" s="253" t="s">
        <v>225</v>
      </c>
      <c r="Q2" s="254" t="s">
        <v>225</v>
      </c>
    </row>
    <row r="3" spans="1:17">
      <c r="A3" s="255"/>
      <c r="B3" s="258" t="s">
        <v>225</v>
      </c>
      <c r="C3" s="255"/>
      <c r="D3" s="255"/>
      <c r="E3" s="255"/>
      <c r="F3" s="255"/>
      <c r="G3" s="255"/>
      <c r="H3" s="255"/>
      <c r="I3" s="255"/>
      <c r="J3" s="255"/>
      <c r="K3" s="255"/>
      <c r="L3" s="255"/>
      <c r="M3" s="255"/>
      <c r="N3" s="255"/>
      <c r="O3" s="255"/>
      <c r="P3" s="255"/>
      <c r="Q3" s="259" t="s">
        <v>225</v>
      </c>
    </row>
    <row r="4" spans="1:17">
      <c r="A4" s="255"/>
      <c r="B4" s="258" t="s">
        <v>351</v>
      </c>
      <c r="C4" s="255">
        <v>63.4</v>
      </c>
      <c r="D4" s="255" t="s">
        <v>288</v>
      </c>
      <c r="E4" s="255"/>
      <c r="F4" s="255"/>
      <c r="G4" s="255"/>
      <c r="H4" s="255"/>
      <c r="I4" s="255"/>
      <c r="J4" s="255"/>
      <c r="K4" s="255"/>
      <c r="L4" s="255"/>
      <c r="M4" s="255"/>
      <c r="N4" s="255"/>
      <c r="O4" s="255"/>
      <c r="P4" s="255"/>
      <c r="Q4" s="259" t="s">
        <v>225</v>
      </c>
    </row>
    <row r="5" spans="1:17">
      <c r="A5" s="255"/>
      <c r="B5" s="258" t="s">
        <v>225</v>
      </c>
      <c r="C5" s="255"/>
      <c r="D5" s="255"/>
      <c r="E5" s="255"/>
      <c r="F5" s="255"/>
      <c r="G5" s="255"/>
      <c r="H5" s="255"/>
      <c r="I5" s="255"/>
      <c r="J5" s="255"/>
      <c r="K5" s="255"/>
      <c r="L5" s="255"/>
      <c r="M5" s="255"/>
      <c r="N5" s="255"/>
      <c r="O5" s="255"/>
      <c r="P5" s="255"/>
      <c r="Q5" s="259" t="s">
        <v>225</v>
      </c>
    </row>
    <row r="6" spans="1:17">
      <c r="A6" s="255"/>
      <c r="B6" s="272" t="s">
        <v>225</v>
      </c>
      <c r="C6" s="252" t="s">
        <v>352</v>
      </c>
      <c r="D6" s="252" t="s">
        <v>300</v>
      </c>
      <c r="E6" s="252" t="s">
        <v>225</v>
      </c>
      <c r="F6" s="255"/>
      <c r="G6" s="255"/>
      <c r="H6" s="255"/>
      <c r="I6" s="255"/>
      <c r="J6" s="255"/>
      <c r="K6" s="255"/>
      <c r="L6" s="255"/>
      <c r="M6" s="255"/>
      <c r="N6" s="255"/>
      <c r="O6" s="255"/>
      <c r="P6" s="255"/>
      <c r="Q6" s="259" t="s">
        <v>225</v>
      </c>
    </row>
    <row r="7" spans="1:17">
      <c r="A7" s="255"/>
      <c r="B7" s="272" t="s">
        <v>306</v>
      </c>
      <c r="C7" s="252">
        <f>WARE_BUFFER_EPEI!S18+WARE_BUFFER_EPEI!S19</f>
        <v>1370</v>
      </c>
      <c r="D7" s="252">
        <f>C7*1.5*2*1</f>
        <v>4110</v>
      </c>
      <c r="E7" s="252" t="s">
        <v>288</v>
      </c>
      <c r="F7" s="255"/>
      <c r="G7" s="255"/>
      <c r="H7" s="255"/>
      <c r="I7" s="255"/>
      <c r="J7" s="255"/>
      <c r="K7" s="255"/>
      <c r="L7" s="255"/>
      <c r="M7" s="255"/>
      <c r="N7" s="255"/>
      <c r="O7" s="255"/>
      <c r="P7" s="255"/>
      <c r="Q7" s="259" t="s">
        <v>225</v>
      </c>
    </row>
    <row r="8" spans="1:17">
      <c r="A8" s="255"/>
      <c r="B8" s="272" t="s">
        <v>311</v>
      </c>
      <c r="C8" s="252">
        <f>360</f>
        <v>360</v>
      </c>
      <c r="D8" s="252">
        <f>C8*1.5*2*1</f>
        <v>1080</v>
      </c>
      <c r="E8" s="252" t="s">
        <v>288</v>
      </c>
      <c r="F8" s="255"/>
      <c r="G8" s="255"/>
      <c r="H8" s="255"/>
      <c r="I8" s="255"/>
      <c r="J8" s="255"/>
      <c r="K8" s="255"/>
      <c r="L8" s="255"/>
      <c r="M8" s="255"/>
      <c r="N8" s="255"/>
      <c r="O8" s="255"/>
      <c r="P8" s="255"/>
      <c r="Q8" s="259" t="s">
        <v>225</v>
      </c>
    </row>
    <row r="9" spans="1:17">
      <c r="A9" s="255"/>
      <c r="B9" s="258" t="s">
        <v>225</v>
      </c>
      <c r="C9" s="255"/>
      <c r="D9" s="255"/>
      <c r="E9" s="255"/>
      <c r="F9" s="255"/>
      <c r="G9" s="255"/>
      <c r="H9" s="255"/>
      <c r="I9" s="255"/>
      <c r="J9" s="255"/>
      <c r="K9" s="255"/>
      <c r="L9" s="255"/>
      <c r="M9" s="255"/>
      <c r="N9" s="255"/>
      <c r="O9" s="255"/>
      <c r="P9" s="255"/>
      <c r="Q9" s="259" t="s">
        <v>225</v>
      </c>
    </row>
    <row r="10" spans="1:17">
      <c r="A10" s="255"/>
      <c r="B10" s="258" t="s">
        <v>225</v>
      </c>
      <c r="C10" s="255"/>
      <c r="D10" s="255"/>
      <c r="E10" s="255"/>
      <c r="F10" s="255"/>
      <c r="G10" s="255"/>
      <c r="H10" s="255"/>
      <c r="I10" s="255"/>
      <c r="J10" s="255"/>
      <c r="K10" s="255"/>
      <c r="L10" s="255"/>
      <c r="M10" s="255"/>
      <c r="N10" s="255"/>
      <c r="O10" s="255"/>
      <c r="P10" s="255"/>
      <c r="Q10" s="259" t="s">
        <v>225</v>
      </c>
    </row>
    <row r="11" spans="1:17">
      <c r="A11" s="255"/>
      <c r="B11" s="558" t="s">
        <v>353</v>
      </c>
      <c r="C11" s="558"/>
      <c r="D11" s="558"/>
      <c r="E11" s="255"/>
      <c r="F11" s="558"/>
      <c r="G11" s="558"/>
      <c r="H11" s="255"/>
      <c r="L11" s="255"/>
      <c r="M11" s="255"/>
      <c r="N11" s="255"/>
      <c r="O11" s="255"/>
      <c r="P11" s="255"/>
      <c r="Q11" s="259" t="s">
        <v>225</v>
      </c>
    </row>
    <row r="12" spans="1:17">
      <c r="A12" s="255"/>
      <c r="B12" s="258" t="s">
        <v>212</v>
      </c>
      <c r="C12" s="255">
        <f>C7+C8</f>
        <v>1730</v>
      </c>
      <c r="D12" s="255" t="s">
        <v>354</v>
      </c>
      <c r="E12" s="255"/>
      <c r="F12" s="255"/>
      <c r="G12" s="255"/>
      <c r="H12" s="255"/>
      <c r="I12" s="255"/>
      <c r="J12" s="255"/>
      <c r="M12" s="255"/>
      <c r="N12" s="255"/>
      <c r="O12" s="255"/>
      <c r="P12" s="255"/>
      <c r="Q12" s="259" t="s">
        <v>225</v>
      </c>
    </row>
    <row r="13" spans="1:17">
      <c r="A13" s="255"/>
      <c r="B13" s="258" t="s">
        <v>355</v>
      </c>
      <c r="C13" s="255">
        <f>ROUNDUP(C12/15,0)</f>
        <v>116</v>
      </c>
      <c r="D13" s="255" t="s">
        <v>321</v>
      </c>
      <c r="E13" s="255"/>
      <c r="F13" s="255"/>
      <c r="G13" s="255"/>
      <c r="H13" s="255"/>
      <c r="I13" s="255"/>
      <c r="J13" s="255"/>
      <c r="M13" s="255"/>
      <c r="N13" s="255"/>
      <c r="O13" s="255"/>
      <c r="P13" s="255"/>
      <c r="Q13" s="259" t="s">
        <v>225</v>
      </c>
    </row>
    <row r="14" spans="1:17">
      <c r="A14" s="255"/>
      <c r="B14" s="258" t="s">
        <v>322</v>
      </c>
      <c r="C14" s="255">
        <v>0.75</v>
      </c>
      <c r="D14" s="255" t="s">
        <v>324</v>
      </c>
      <c r="E14" s="255"/>
      <c r="F14" s="255"/>
      <c r="G14" s="255"/>
      <c r="H14" s="255"/>
      <c r="I14" s="255"/>
      <c r="J14" s="255"/>
      <c r="M14" s="255"/>
      <c r="N14" s="255"/>
      <c r="O14" s="255"/>
      <c r="P14" s="255"/>
      <c r="Q14" s="259" t="s">
        <v>225</v>
      </c>
    </row>
    <row r="15" spans="1:17">
      <c r="A15" s="255"/>
      <c r="B15" s="258" t="s">
        <v>326</v>
      </c>
      <c r="C15" s="255">
        <v>0.75</v>
      </c>
      <c r="D15" s="255" t="s">
        <v>324</v>
      </c>
      <c r="E15" s="255"/>
      <c r="F15" s="255"/>
      <c r="G15" s="255"/>
      <c r="H15" s="255"/>
      <c r="I15" s="255"/>
      <c r="J15" s="255"/>
      <c r="M15" s="255"/>
      <c r="N15" s="255"/>
      <c r="O15" s="255"/>
      <c r="P15" s="255"/>
      <c r="Q15" s="259" t="s">
        <v>225</v>
      </c>
    </row>
    <row r="16" spans="1:17">
      <c r="A16" s="255"/>
      <c r="B16" s="258" t="s">
        <v>356</v>
      </c>
      <c r="C16" s="255">
        <v>63.4</v>
      </c>
      <c r="D16" s="255" t="s">
        <v>288</v>
      </c>
      <c r="E16" s="255"/>
      <c r="F16" s="255"/>
      <c r="G16" s="255"/>
      <c r="H16" s="255"/>
      <c r="I16" s="255"/>
      <c r="J16" s="255"/>
      <c r="M16" s="255"/>
      <c r="N16" s="255"/>
      <c r="O16" s="255"/>
      <c r="P16" s="255"/>
      <c r="Q16" s="259" t="s">
        <v>225</v>
      </c>
    </row>
    <row r="17" spans="1:17">
      <c r="A17" s="255"/>
      <c r="B17" s="258" t="s">
        <v>357</v>
      </c>
      <c r="C17" s="255" t="s">
        <v>358</v>
      </c>
      <c r="D17" s="255"/>
      <c r="E17" s="255"/>
      <c r="F17" s="255"/>
      <c r="G17" s="255"/>
      <c r="H17" s="255"/>
      <c r="I17" s="255"/>
      <c r="J17" s="255"/>
      <c r="M17" s="255"/>
      <c r="N17" s="255"/>
      <c r="O17" s="255"/>
      <c r="P17" s="255"/>
      <c r="Q17" s="259" t="s">
        <v>225</v>
      </c>
    </row>
    <row r="18" spans="1:17">
      <c r="A18" s="255"/>
      <c r="B18" s="258" t="s">
        <v>359</v>
      </c>
      <c r="C18" s="255">
        <f>ROUNDUP(5190/C16,0)</f>
        <v>82</v>
      </c>
      <c r="D18" s="255" t="s">
        <v>360</v>
      </c>
      <c r="E18" s="255"/>
      <c r="F18" s="255"/>
      <c r="G18" s="255"/>
      <c r="H18" s="255"/>
      <c r="I18" s="255"/>
      <c r="J18" s="255"/>
      <c r="M18" s="255"/>
      <c r="N18" s="255"/>
      <c r="O18" s="255"/>
      <c r="P18" s="255"/>
      <c r="Q18" s="259" t="s">
        <v>225</v>
      </c>
    </row>
    <row r="19" spans="1:17">
      <c r="A19" s="255"/>
      <c r="B19" s="258" t="s">
        <v>334</v>
      </c>
      <c r="C19" s="255">
        <f>ROUNDUP(C18/15,0)</f>
        <v>6</v>
      </c>
      <c r="D19" s="255" t="s">
        <v>335</v>
      </c>
      <c r="E19" s="255"/>
      <c r="F19" s="255"/>
      <c r="G19" s="255"/>
      <c r="H19" s="255"/>
      <c r="I19" s="255"/>
      <c r="J19" s="255"/>
      <c r="M19" s="255"/>
      <c r="N19" s="255"/>
      <c r="O19" s="255"/>
      <c r="P19" s="255"/>
      <c r="Q19" s="259" t="s">
        <v>225</v>
      </c>
    </row>
    <row r="20" spans="1:17">
      <c r="A20" s="255"/>
      <c r="B20" s="258" t="s">
        <v>338</v>
      </c>
      <c r="C20" s="255">
        <f>ROUNDUP(C19*C14,0)</f>
        <v>5</v>
      </c>
      <c r="D20" s="255" t="s">
        <v>339</v>
      </c>
      <c r="E20" s="255"/>
      <c r="F20" s="255"/>
      <c r="G20" s="255"/>
      <c r="H20" s="255"/>
      <c r="I20" s="255"/>
      <c r="J20" s="255"/>
      <c r="M20" s="255"/>
      <c r="N20" s="255"/>
      <c r="O20" s="255"/>
      <c r="P20" s="255"/>
      <c r="Q20" s="259" t="s">
        <v>225</v>
      </c>
    </row>
    <row r="21" spans="1:17">
      <c r="A21" s="255"/>
      <c r="B21" s="258" t="s">
        <v>340</v>
      </c>
      <c r="C21" s="255">
        <f>C14*C13*1.5*2</f>
        <v>261</v>
      </c>
      <c r="D21" s="255" t="s">
        <v>341</v>
      </c>
      <c r="E21" s="255"/>
      <c r="F21" s="255">
        <f>C21/2.6</f>
        <v>100.38461538461539</v>
      </c>
      <c r="G21" s="255"/>
      <c r="H21" s="255"/>
      <c r="I21" s="255"/>
      <c r="J21" s="255"/>
      <c r="M21" s="255"/>
      <c r="N21" s="255"/>
      <c r="O21" s="255"/>
      <c r="P21" s="255"/>
      <c r="Q21" s="259" t="s">
        <v>225</v>
      </c>
    </row>
    <row r="22" spans="1:17">
      <c r="A22" s="255"/>
      <c r="B22" s="258" t="s">
        <v>225</v>
      </c>
      <c r="C22" s="255"/>
      <c r="D22" s="255"/>
      <c r="E22" s="255"/>
      <c r="F22" s="255"/>
      <c r="G22" s="255"/>
      <c r="H22" s="255"/>
      <c r="I22" s="255"/>
      <c r="J22" s="255"/>
      <c r="K22" s="255"/>
      <c r="L22" s="255"/>
      <c r="M22" s="255"/>
      <c r="N22" s="255"/>
      <c r="O22" s="255"/>
      <c r="P22" s="255"/>
      <c r="Q22" s="259" t="s">
        <v>225</v>
      </c>
    </row>
    <row r="23" spans="1:17">
      <c r="A23" s="255"/>
      <c r="B23" s="258" t="s">
        <v>225</v>
      </c>
      <c r="C23" s="255"/>
      <c r="D23" s="255"/>
      <c r="E23" s="255"/>
      <c r="F23" s="255"/>
      <c r="G23" s="255"/>
      <c r="H23" s="255"/>
      <c r="I23" s="255"/>
      <c r="J23" s="255"/>
      <c r="L23" s="255"/>
      <c r="M23" s="269"/>
      <c r="N23" s="255"/>
      <c r="O23" s="255"/>
      <c r="P23" s="255"/>
      <c r="Q23" s="259" t="s">
        <v>225</v>
      </c>
    </row>
    <row r="24" spans="1:17">
      <c r="A24" s="255"/>
      <c r="B24" s="258" t="s">
        <v>225</v>
      </c>
      <c r="C24" s="255"/>
      <c r="D24" s="255"/>
      <c r="E24" s="255"/>
      <c r="F24" s="255"/>
      <c r="G24" s="255"/>
      <c r="H24" s="255"/>
      <c r="I24" s="255"/>
      <c r="J24" s="255"/>
      <c r="K24" s="255"/>
      <c r="L24" s="255"/>
      <c r="M24" s="269"/>
      <c r="N24" s="255"/>
      <c r="O24" s="255"/>
      <c r="P24" s="255"/>
      <c r="Q24" s="259" t="s">
        <v>225</v>
      </c>
    </row>
    <row r="25" spans="1:17">
      <c r="A25" s="255"/>
      <c r="B25" s="265" t="s">
        <v>361</v>
      </c>
      <c r="C25" s="267" t="s">
        <v>225</v>
      </c>
      <c r="D25" s="255">
        <f>1.5*2/C20*C13*C14</f>
        <v>52.199999999999996</v>
      </c>
      <c r="E25" s="260" t="s">
        <v>341</v>
      </c>
      <c r="F25" s="255"/>
      <c r="G25" s="255">
        <f>SQRT(D25)</f>
        <v>7.2249567472753773</v>
      </c>
      <c r="H25" s="255"/>
      <c r="I25" s="255"/>
      <c r="J25" s="255"/>
      <c r="K25" s="255"/>
      <c r="L25" s="255"/>
      <c r="M25" s="255"/>
      <c r="N25" s="255"/>
      <c r="O25" s="255"/>
      <c r="P25" s="255"/>
      <c r="Q25" s="255"/>
    </row>
  </sheetData>
  <mergeCells count="2">
    <mergeCell ref="B11:D11"/>
    <mergeCell ref="F11:G11"/>
  </mergeCells>
  <phoneticPr fontId="2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C37"/>
  <sheetViews>
    <sheetView zoomScale="70" zoomScaleNormal="70" workbookViewId="0">
      <selection activeCell="P4" sqref="P4"/>
    </sheetView>
  </sheetViews>
  <sheetFormatPr defaultColWidth="8.796875" defaultRowHeight="14.25"/>
  <cols>
    <col min="21" max="21" width="10.796875" bestFit="1" customWidth="1"/>
    <col min="23" max="23" width="25.46484375" customWidth="1"/>
    <col min="24" max="24" width="15" customWidth="1"/>
    <col min="28" max="28" width="8" customWidth="1"/>
  </cols>
  <sheetData>
    <row r="1" spans="4:23" ht="14.65" thickBot="1"/>
    <row r="2" spans="4:23" ht="15.75" customHeight="1" thickBot="1">
      <c r="D2" s="564" t="s">
        <v>362</v>
      </c>
      <c r="E2" s="565"/>
      <c r="F2" s="565"/>
      <c r="G2" s="565"/>
      <c r="H2" s="565"/>
      <c r="I2" s="565"/>
      <c r="J2" s="565"/>
      <c r="K2" s="565"/>
      <c r="L2" s="565"/>
      <c r="M2" s="565"/>
      <c r="N2" s="565"/>
      <c r="O2" s="566"/>
    </row>
    <row r="3" spans="4:23" ht="15.75" customHeight="1">
      <c r="D3" s="62" t="s">
        <v>31</v>
      </c>
      <c r="E3" s="571" t="s">
        <v>126</v>
      </c>
      <c r="F3" s="571"/>
      <c r="G3" s="571"/>
      <c r="H3" s="571"/>
      <c r="I3" s="571"/>
      <c r="J3" s="571"/>
      <c r="K3" s="571"/>
      <c r="L3" s="571"/>
      <c r="M3" s="571"/>
      <c r="N3" s="61" t="s">
        <v>363</v>
      </c>
      <c r="O3" s="63" t="s">
        <v>364</v>
      </c>
      <c r="T3" s="60" t="s">
        <v>365</v>
      </c>
      <c r="U3" s="60" t="s">
        <v>366</v>
      </c>
      <c r="V3" s="47" t="s">
        <v>367</v>
      </c>
      <c r="W3" s="60" t="s">
        <v>368</v>
      </c>
    </row>
    <row r="4" spans="4:23" ht="15.75" customHeight="1">
      <c r="D4" s="64" t="s">
        <v>369</v>
      </c>
      <c r="E4" s="559" t="s">
        <v>370</v>
      </c>
      <c r="F4" s="560"/>
      <c r="G4" s="560"/>
      <c r="H4" s="560"/>
      <c r="I4" s="560"/>
      <c r="J4" s="560"/>
      <c r="K4" s="560"/>
      <c r="L4" s="560"/>
      <c r="M4" s="561"/>
      <c r="N4" s="59" t="s">
        <v>371</v>
      </c>
      <c r="O4" s="65">
        <v>0.4</v>
      </c>
      <c r="T4" s="59" t="s">
        <v>369</v>
      </c>
      <c r="U4" s="114">
        <v>0.4</v>
      </c>
      <c r="V4" s="94">
        <f>U4+U12+U6+U7+U11+U13+U8+U10+U5+U9+U14+U15+U16</f>
        <v>6.3</v>
      </c>
      <c r="W4" s="109" t="s">
        <v>372</v>
      </c>
    </row>
    <row r="5" spans="4:23" ht="15.75" customHeight="1">
      <c r="D5" s="64" t="s">
        <v>373</v>
      </c>
      <c r="E5" s="559" t="s">
        <v>374</v>
      </c>
      <c r="F5" s="560"/>
      <c r="G5" s="560"/>
      <c r="H5" s="560"/>
      <c r="I5" s="560"/>
      <c r="J5" s="560"/>
      <c r="K5" s="560"/>
      <c r="L5" s="560"/>
      <c r="M5" s="561"/>
      <c r="N5" s="59" t="s">
        <v>369</v>
      </c>
      <c r="O5" s="65">
        <v>0.3</v>
      </c>
      <c r="R5" s="20"/>
      <c r="S5" s="2"/>
      <c r="T5" s="59" t="s">
        <v>375</v>
      </c>
      <c r="U5" s="114">
        <v>0.6</v>
      </c>
      <c r="V5" s="94">
        <f>U5+U9+U14+U16</f>
        <v>2.2999999999999998</v>
      </c>
      <c r="W5" s="109" t="s">
        <v>376</v>
      </c>
    </row>
    <row r="6" spans="4:23" ht="15.75" customHeight="1">
      <c r="D6" s="64" t="s">
        <v>377</v>
      </c>
      <c r="E6" s="559" t="s">
        <v>378</v>
      </c>
      <c r="F6" s="560"/>
      <c r="G6" s="560"/>
      <c r="H6" s="560"/>
      <c r="I6" s="560"/>
      <c r="J6" s="560"/>
      <c r="K6" s="560"/>
      <c r="L6" s="560"/>
      <c r="M6" s="561"/>
      <c r="N6" s="59" t="s">
        <v>369</v>
      </c>
      <c r="O6" s="65">
        <v>0.3</v>
      </c>
      <c r="T6" s="59" t="s">
        <v>377</v>
      </c>
      <c r="U6" s="114">
        <v>0.3</v>
      </c>
      <c r="V6" s="95">
        <f>U6+U7+U11+U13+U16</f>
        <v>2.2000000000000002</v>
      </c>
      <c r="W6" s="109" t="s">
        <v>379</v>
      </c>
    </row>
    <row r="7" spans="4:23" ht="15.75" customHeight="1">
      <c r="D7" s="64" t="s">
        <v>380</v>
      </c>
      <c r="E7" s="559" t="s">
        <v>381</v>
      </c>
      <c r="F7" s="560"/>
      <c r="G7" s="560"/>
      <c r="H7" s="560"/>
      <c r="I7" s="560"/>
      <c r="J7" s="560"/>
      <c r="K7" s="560"/>
      <c r="L7" s="560"/>
      <c r="M7" s="561"/>
      <c r="N7" s="59" t="s">
        <v>377</v>
      </c>
      <c r="O7" s="65">
        <v>0.5</v>
      </c>
      <c r="T7" s="59" t="s">
        <v>380</v>
      </c>
      <c r="U7" s="114">
        <v>0.5</v>
      </c>
      <c r="V7" s="94">
        <f>U7+U11+U13+U16</f>
        <v>1.9</v>
      </c>
      <c r="W7" s="109" t="s">
        <v>382</v>
      </c>
    </row>
    <row r="8" spans="4:23" ht="15.75" customHeight="1">
      <c r="D8" s="64" t="s">
        <v>383</v>
      </c>
      <c r="E8" s="559" t="s">
        <v>384</v>
      </c>
      <c r="F8" s="560"/>
      <c r="G8" s="560"/>
      <c r="H8" s="560"/>
      <c r="I8" s="560"/>
      <c r="J8" s="560"/>
      <c r="K8" s="560"/>
      <c r="L8" s="560"/>
      <c r="M8" s="561"/>
      <c r="N8" s="59" t="s">
        <v>380</v>
      </c>
      <c r="O8" s="65">
        <v>0.5</v>
      </c>
      <c r="T8" s="59" t="s">
        <v>385</v>
      </c>
      <c r="U8" s="114">
        <v>0.4</v>
      </c>
      <c r="V8" s="94">
        <f>U8+U10+U15+U16</f>
        <v>1.9</v>
      </c>
      <c r="W8" s="109" t="s">
        <v>386</v>
      </c>
    </row>
    <row r="9" spans="4:23" ht="15.75" customHeight="1">
      <c r="D9" s="64" t="s">
        <v>387</v>
      </c>
      <c r="E9" s="559" t="s">
        <v>388</v>
      </c>
      <c r="F9" s="560"/>
      <c r="G9" s="560"/>
      <c r="H9" s="560"/>
      <c r="I9" s="560"/>
      <c r="J9" s="560"/>
      <c r="K9" s="560"/>
      <c r="L9" s="560"/>
      <c r="M9" s="561"/>
      <c r="N9" s="59" t="s">
        <v>389</v>
      </c>
      <c r="O9" s="65">
        <v>0.5</v>
      </c>
      <c r="T9" s="59" t="s">
        <v>390</v>
      </c>
      <c r="U9" s="115">
        <v>0.8</v>
      </c>
      <c r="V9" s="94">
        <f>U9+U14+U16</f>
        <v>1.7000000000000002</v>
      </c>
      <c r="W9" s="109" t="s">
        <v>391</v>
      </c>
    </row>
    <row r="10" spans="4:23" ht="15.75" customHeight="1">
      <c r="D10" s="64" t="s">
        <v>385</v>
      </c>
      <c r="E10" s="559" t="s">
        <v>392</v>
      </c>
      <c r="F10" s="560"/>
      <c r="G10" s="560"/>
      <c r="H10" s="560"/>
      <c r="I10" s="560"/>
      <c r="J10" s="560"/>
      <c r="K10" s="560"/>
      <c r="L10" s="560"/>
      <c r="M10" s="561"/>
      <c r="N10" s="59" t="s">
        <v>369</v>
      </c>
      <c r="O10" s="65">
        <v>0.4</v>
      </c>
      <c r="T10" s="59" t="s">
        <v>393</v>
      </c>
      <c r="U10" s="114">
        <v>0.7</v>
      </c>
      <c r="V10" s="94">
        <f>U10+U15+U16</f>
        <v>1.5</v>
      </c>
      <c r="W10" s="109" t="s">
        <v>394</v>
      </c>
    </row>
    <row r="11" spans="4:23" ht="15.75" customHeight="1">
      <c r="D11" s="64" t="s">
        <v>393</v>
      </c>
      <c r="E11" s="559" t="s">
        <v>395</v>
      </c>
      <c r="F11" s="560"/>
      <c r="G11" s="560"/>
      <c r="H11" s="560"/>
      <c r="I11" s="560"/>
      <c r="J11" s="560"/>
      <c r="K11" s="560"/>
      <c r="L11" s="560"/>
      <c r="M11" s="561"/>
      <c r="N11" s="59" t="s">
        <v>385</v>
      </c>
      <c r="O11" s="65">
        <v>0.7</v>
      </c>
      <c r="T11" s="59" t="s">
        <v>383</v>
      </c>
      <c r="U11" s="114">
        <v>0.5</v>
      </c>
      <c r="V11" s="94">
        <f>U11+U13+U16</f>
        <v>1.4</v>
      </c>
      <c r="W11" s="109" t="s">
        <v>396</v>
      </c>
    </row>
    <row r="12" spans="4:23" ht="15.75" customHeight="1">
      <c r="D12" s="64" t="s">
        <v>375</v>
      </c>
      <c r="E12" s="559" t="s">
        <v>397</v>
      </c>
      <c r="F12" s="560"/>
      <c r="G12" s="560"/>
      <c r="H12" s="560"/>
      <c r="I12" s="560"/>
      <c r="J12" s="560"/>
      <c r="K12" s="560"/>
      <c r="L12" s="560"/>
      <c r="M12" s="561"/>
      <c r="N12" s="59" t="s">
        <v>369</v>
      </c>
      <c r="O12" s="65">
        <v>0.6</v>
      </c>
      <c r="T12" s="59" t="s">
        <v>373</v>
      </c>
      <c r="U12" s="114">
        <v>0.3</v>
      </c>
      <c r="V12" s="94">
        <f>U12+U13+U16</f>
        <v>1.2000000000000002</v>
      </c>
      <c r="W12" s="109" t="s">
        <v>396</v>
      </c>
    </row>
    <row r="13" spans="4:23" ht="15.75" customHeight="1">
      <c r="D13" s="64" t="s">
        <v>390</v>
      </c>
      <c r="E13" s="559" t="s">
        <v>398</v>
      </c>
      <c r="F13" s="560"/>
      <c r="G13" s="560"/>
      <c r="H13" s="560"/>
      <c r="I13" s="560"/>
      <c r="J13" s="560"/>
      <c r="K13" s="560"/>
      <c r="L13" s="560"/>
      <c r="M13" s="561"/>
      <c r="N13" s="59" t="s">
        <v>375</v>
      </c>
      <c r="O13" s="66">
        <v>0.8</v>
      </c>
      <c r="T13" s="59" t="s">
        <v>387</v>
      </c>
      <c r="U13" s="114">
        <v>0.5</v>
      </c>
      <c r="V13" s="94">
        <f>U13+U16</f>
        <v>0.9</v>
      </c>
      <c r="W13" s="109" t="s">
        <v>399</v>
      </c>
    </row>
    <row r="14" spans="4:23" ht="15.75" customHeight="1">
      <c r="D14" s="64" t="s">
        <v>400</v>
      </c>
      <c r="E14" s="559" t="s">
        <v>401</v>
      </c>
      <c r="F14" s="560"/>
      <c r="G14" s="560"/>
      <c r="H14" s="560"/>
      <c r="I14" s="560"/>
      <c r="J14" s="560"/>
      <c r="K14" s="560"/>
      <c r="L14" s="560"/>
      <c r="M14" s="561"/>
      <c r="N14" s="59" t="s">
        <v>390</v>
      </c>
      <c r="O14" s="65">
        <v>0.5</v>
      </c>
      <c r="T14" s="59" t="s">
        <v>400</v>
      </c>
      <c r="U14" s="114">
        <v>0.5</v>
      </c>
      <c r="V14" s="94">
        <f>U14+U16</f>
        <v>0.9</v>
      </c>
      <c r="W14" s="109" t="s">
        <v>399</v>
      </c>
    </row>
    <row r="15" spans="4:23" ht="15.75" customHeight="1">
      <c r="D15" s="64" t="s">
        <v>402</v>
      </c>
      <c r="E15" s="559" t="s">
        <v>403</v>
      </c>
      <c r="F15" s="560"/>
      <c r="G15" s="560"/>
      <c r="H15" s="560"/>
      <c r="I15" s="560"/>
      <c r="J15" s="560"/>
      <c r="K15" s="560"/>
      <c r="L15" s="560"/>
      <c r="M15" s="561"/>
      <c r="N15" s="59" t="s">
        <v>393</v>
      </c>
      <c r="O15" s="65">
        <v>0.4</v>
      </c>
      <c r="T15" s="59" t="s">
        <v>402</v>
      </c>
      <c r="U15" s="114">
        <v>0.4</v>
      </c>
      <c r="V15" s="94">
        <f>U15+U16</f>
        <v>0.8</v>
      </c>
      <c r="W15" s="109" t="s">
        <v>399</v>
      </c>
    </row>
    <row r="16" spans="4:23" ht="15.75" customHeight="1">
      <c r="D16" s="64" t="s">
        <v>399</v>
      </c>
      <c r="E16" s="559" t="s">
        <v>404</v>
      </c>
      <c r="F16" s="560"/>
      <c r="G16" s="560"/>
      <c r="H16" s="560"/>
      <c r="I16" s="560"/>
      <c r="J16" s="560"/>
      <c r="K16" s="560"/>
      <c r="L16" s="560"/>
      <c r="M16" s="561"/>
      <c r="N16" s="59" t="s">
        <v>405</v>
      </c>
      <c r="O16" s="65">
        <v>0.4</v>
      </c>
      <c r="T16" s="103" t="s">
        <v>399</v>
      </c>
      <c r="U16" s="114">
        <v>0.4</v>
      </c>
      <c r="V16" s="94">
        <f>U16</f>
        <v>0.4</v>
      </c>
      <c r="W16" s="109" t="s">
        <v>406</v>
      </c>
    </row>
    <row r="17" spans="2:29" ht="15.75" customHeight="1" thickBot="1">
      <c r="D17" s="67"/>
      <c r="E17" s="562"/>
      <c r="F17" s="562"/>
      <c r="G17" s="562"/>
      <c r="H17" s="562"/>
      <c r="I17" s="562"/>
      <c r="J17" s="562"/>
      <c r="K17" s="562"/>
      <c r="L17" s="562"/>
      <c r="M17" s="562"/>
      <c r="N17" s="68"/>
      <c r="O17" s="69">
        <f>SUM(O4:O16)</f>
        <v>6.3</v>
      </c>
      <c r="T17" s="103"/>
      <c r="U17" s="105">
        <f>SUM(U4:U16)</f>
        <v>6.3000000000000007</v>
      </c>
      <c r="V17" s="105"/>
      <c r="W17" s="110"/>
    </row>
    <row r="18" spans="2:29" ht="15.75" customHeight="1">
      <c r="D18" s="1"/>
    </row>
    <row r="19" spans="2:29" ht="15.75" customHeight="1">
      <c r="D19" s="1"/>
    </row>
    <row r="20" spans="2:29" ht="15.75" customHeight="1">
      <c r="B20" s="572" t="s">
        <v>407</v>
      </c>
      <c r="C20" s="572"/>
      <c r="D20" s="572"/>
      <c r="E20" s="572"/>
      <c r="F20" s="572"/>
      <c r="G20" s="572"/>
      <c r="H20" s="572"/>
      <c r="I20" s="572"/>
      <c r="J20" s="572"/>
      <c r="K20" s="572"/>
      <c r="L20" s="572"/>
      <c r="M20" s="572"/>
      <c r="N20" s="572"/>
      <c r="O20" s="572"/>
      <c r="P20" s="572"/>
      <c r="Q20" s="572"/>
      <c r="R20" s="572"/>
    </row>
    <row r="21" spans="2:29" ht="15.75" customHeight="1">
      <c r="B21" s="572"/>
      <c r="C21" s="572"/>
      <c r="D21" s="572"/>
      <c r="E21" s="572"/>
      <c r="F21" s="572"/>
      <c r="G21" s="572"/>
      <c r="H21" s="572"/>
      <c r="I21" s="572"/>
      <c r="J21" s="572"/>
      <c r="K21" s="572"/>
      <c r="L21" s="572"/>
      <c r="M21" s="572"/>
      <c r="N21" s="572"/>
      <c r="O21" s="572"/>
      <c r="P21" s="572"/>
      <c r="Q21" s="572"/>
      <c r="R21" s="572"/>
      <c r="U21" s="567" t="s">
        <v>408</v>
      </c>
      <c r="V21" s="567"/>
      <c r="W21" s="568" t="s">
        <v>409</v>
      </c>
      <c r="X21" s="568"/>
      <c r="Y21" s="569" t="s">
        <v>410</v>
      </c>
      <c r="Z21" s="569"/>
      <c r="AA21" s="570" t="s">
        <v>411</v>
      </c>
      <c r="AB21" s="570"/>
    </row>
    <row r="22" spans="2:29" ht="15.75" customHeight="1">
      <c r="D22" s="1"/>
      <c r="U22" s="114" t="s">
        <v>369</v>
      </c>
      <c r="V22" s="114">
        <v>0.4</v>
      </c>
      <c r="W22" s="114" t="s">
        <v>385</v>
      </c>
      <c r="X22" s="114">
        <v>0.4</v>
      </c>
      <c r="Y22" s="114" t="s">
        <v>383</v>
      </c>
      <c r="Z22" s="114">
        <v>0.5</v>
      </c>
      <c r="AA22" s="114" t="s">
        <v>402</v>
      </c>
      <c r="AB22" s="114">
        <v>0.4</v>
      </c>
    </row>
    <row r="23" spans="2:29" ht="15.75" customHeight="1">
      <c r="D23" s="1"/>
      <c r="U23" s="114" t="s">
        <v>375</v>
      </c>
      <c r="V23" s="114">
        <v>0.6</v>
      </c>
      <c r="W23" s="114" t="s">
        <v>390</v>
      </c>
      <c r="X23" s="114">
        <v>0.8</v>
      </c>
      <c r="Y23" s="114" t="s">
        <v>373</v>
      </c>
      <c r="Z23" s="114">
        <v>0.3</v>
      </c>
      <c r="AA23" s="114" t="s">
        <v>399</v>
      </c>
      <c r="AB23" s="114">
        <v>0.4</v>
      </c>
    </row>
    <row r="24" spans="2:29" ht="15.75" customHeight="1">
      <c r="D24" s="1"/>
      <c r="U24" s="114" t="s">
        <v>377</v>
      </c>
      <c r="V24" s="114">
        <v>0.3</v>
      </c>
      <c r="W24" s="114" t="s">
        <v>393</v>
      </c>
      <c r="X24" s="114">
        <v>0.7</v>
      </c>
      <c r="Y24" s="114" t="s">
        <v>387</v>
      </c>
      <c r="Z24" s="114">
        <v>0.5</v>
      </c>
      <c r="AA24" s="114"/>
      <c r="AB24" s="114"/>
    </row>
    <row r="25" spans="2:29" ht="15.75" customHeight="1">
      <c r="D25" s="1"/>
      <c r="U25" s="114" t="s">
        <v>380</v>
      </c>
      <c r="V25" s="114">
        <v>0.5</v>
      </c>
      <c r="W25" s="114"/>
      <c r="X25" s="114"/>
      <c r="Y25" s="114" t="s">
        <v>400</v>
      </c>
      <c r="Z25" s="114">
        <v>0.5</v>
      </c>
      <c r="AA25" s="114"/>
      <c r="AB25" s="114"/>
    </row>
    <row r="26" spans="2:29" ht="15.75" customHeight="1">
      <c r="D26" s="1"/>
      <c r="G26" s="15"/>
      <c r="J26" s="15"/>
      <c r="M26" s="15"/>
      <c r="U26" s="563"/>
      <c r="V26" s="563"/>
      <c r="W26" s="563"/>
      <c r="X26" s="563"/>
      <c r="Y26" s="563"/>
      <c r="Z26" s="563"/>
      <c r="AA26" s="563"/>
      <c r="AB26" s="563"/>
    </row>
    <row r="27" spans="2:29" ht="15.75" customHeight="1">
      <c r="D27" s="1"/>
      <c r="U27" s="96" t="s">
        <v>412</v>
      </c>
      <c r="V27" s="96">
        <f>SUM(V22:V25)</f>
        <v>1.8</v>
      </c>
      <c r="W27" s="96" t="s">
        <v>412</v>
      </c>
      <c r="X27" s="96">
        <f>SUM(X22:X25)</f>
        <v>1.9000000000000001</v>
      </c>
      <c r="Y27" s="96" t="s">
        <v>412</v>
      </c>
      <c r="Z27" s="96">
        <f t="shared" ref="Z27" si="0">SUM(Z22:Z25)</f>
        <v>1.8</v>
      </c>
      <c r="AA27" s="96" t="s">
        <v>412</v>
      </c>
      <c r="AB27" s="96">
        <f t="shared" ref="AB27" si="1">SUM(AB22:AB25)</f>
        <v>0.8</v>
      </c>
      <c r="AC27" s="4"/>
    </row>
    <row r="28" spans="2:29" ht="15.75" customHeight="1">
      <c r="D28" s="1"/>
    </row>
    <row r="29" spans="2:29" ht="15.75" customHeight="1">
      <c r="D29" s="1"/>
    </row>
    <row r="31" spans="2:29">
      <c r="G31" s="15"/>
      <c r="J31" s="15"/>
      <c r="M31" s="15"/>
    </row>
    <row r="32" spans="2:29">
      <c r="Q32" s="15"/>
    </row>
    <row r="34" spans="4:13">
      <c r="D34" s="15"/>
    </row>
    <row r="37" spans="4:13">
      <c r="G37" s="15"/>
      <c r="J37" s="15"/>
      <c r="M37" s="15"/>
    </row>
  </sheetData>
  <mergeCells count="22">
    <mergeCell ref="U26:AB26"/>
    <mergeCell ref="D2:O2"/>
    <mergeCell ref="U21:V21"/>
    <mergeCell ref="W21:X21"/>
    <mergeCell ref="Y21:Z21"/>
    <mergeCell ref="AA21:AB21"/>
    <mergeCell ref="E3:M3"/>
    <mergeCell ref="E4:M4"/>
    <mergeCell ref="E5:M5"/>
    <mergeCell ref="E6:M6"/>
    <mergeCell ref="E7:M7"/>
    <mergeCell ref="E8:M8"/>
    <mergeCell ref="E9:M9"/>
    <mergeCell ref="E11:M11"/>
    <mergeCell ref="E10:M10"/>
    <mergeCell ref="B20:R21"/>
    <mergeCell ref="E12:M12"/>
    <mergeCell ref="E14:M14"/>
    <mergeCell ref="E15:M15"/>
    <mergeCell ref="E16:M16"/>
    <mergeCell ref="E17:M17"/>
    <mergeCell ref="E13:M13"/>
  </mergeCells>
  <phoneticPr fontId="25" type="noConversion"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FC209-40F0-4581-AFA0-4832A771C8AD}">
  <dimension ref="A1:AH87"/>
  <sheetViews>
    <sheetView zoomScale="47" zoomScaleNormal="100" workbookViewId="0">
      <selection activeCell="J29" sqref="J29"/>
    </sheetView>
  </sheetViews>
  <sheetFormatPr defaultColWidth="8.796875" defaultRowHeight="14.25"/>
  <cols>
    <col min="1" max="1" width="26.6640625" customWidth="1"/>
    <col min="2" max="2" width="15.796875" bestFit="1" customWidth="1"/>
    <col min="3" max="3" width="10.1328125" bestFit="1" customWidth="1"/>
    <col min="5" max="5" width="9.1328125" bestFit="1" customWidth="1"/>
    <col min="7" max="7" width="12.6640625" customWidth="1"/>
    <col min="8" max="8" width="14.6640625" bestFit="1" customWidth="1"/>
    <col min="10" max="12" width="8.796875" bestFit="1" customWidth="1"/>
    <col min="13" max="13" width="31.796875" bestFit="1" customWidth="1"/>
    <col min="14" max="14" width="23.1328125" bestFit="1" customWidth="1"/>
    <col min="15" max="15" width="12.6640625" customWidth="1"/>
    <col min="16" max="16" width="21.796875" bestFit="1" customWidth="1"/>
    <col min="17" max="17" width="12.796875" customWidth="1"/>
    <col min="18" max="18" width="18" customWidth="1"/>
    <col min="19" max="19" width="11.1328125" bestFit="1" customWidth="1"/>
    <col min="20" max="20" width="44" bestFit="1" customWidth="1"/>
    <col min="21" max="21" width="14.1328125" customWidth="1"/>
    <col min="22" max="22" width="13.796875" customWidth="1"/>
    <col min="23" max="23" width="12.796875" customWidth="1"/>
    <col min="26" max="26" width="7.6640625" customWidth="1"/>
  </cols>
  <sheetData>
    <row r="1" spans="1:14" ht="18">
      <c r="A1" s="600" t="s">
        <v>413</v>
      </c>
      <c r="B1" s="600"/>
      <c r="C1" s="600"/>
      <c r="D1" s="600"/>
      <c r="E1" s="600"/>
      <c r="F1" s="600"/>
      <c r="G1" s="600"/>
      <c r="H1" s="600"/>
      <c r="I1" s="600"/>
      <c r="J1" s="600"/>
      <c r="K1" s="600"/>
      <c r="L1" s="600"/>
      <c r="M1" s="118"/>
      <c r="N1" s="119"/>
    </row>
    <row r="2" spans="1:14" ht="47.25">
      <c r="A2" s="116" t="s">
        <v>125</v>
      </c>
      <c r="B2" s="116" t="s">
        <v>32</v>
      </c>
      <c r="C2" s="601" t="s">
        <v>33</v>
      </c>
      <c r="D2" s="601"/>
      <c r="E2" s="601"/>
      <c r="F2" s="601"/>
      <c r="G2" s="601"/>
      <c r="H2" s="116" t="s">
        <v>414</v>
      </c>
      <c r="I2" s="116" t="s">
        <v>415</v>
      </c>
      <c r="J2" s="116" t="s">
        <v>416</v>
      </c>
      <c r="K2" s="117" t="s">
        <v>35</v>
      </c>
      <c r="L2" s="116" t="s">
        <v>36</v>
      </c>
    </row>
    <row r="3" spans="1:14">
      <c r="A3" s="14" t="s">
        <v>38</v>
      </c>
      <c r="B3" s="14" t="s">
        <v>39</v>
      </c>
      <c r="C3" s="599" t="s">
        <v>40</v>
      </c>
      <c r="D3" s="599"/>
      <c r="E3" s="599"/>
      <c r="F3" s="599"/>
      <c r="G3" s="599"/>
      <c r="H3" s="10">
        <v>1500</v>
      </c>
      <c r="I3" s="10">
        <v>2000</v>
      </c>
      <c r="J3" s="10">
        <v>300</v>
      </c>
      <c r="K3" s="10">
        <v>25</v>
      </c>
      <c r="L3" s="10">
        <v>2</v>
      </c>
    </row>
    <row r="4" spans="1:14">
      <c r="A4" s="14" t="s">
        <v>42</v>
      </c>
      <c r="B4" s="14" t="s">
        <v>39</v>
      </c>
      <c r="C4" s="599" t="s">
        <v>43</v>
      </c>
      <c r="D4" s="599"/>
      <c r="E4" s="599"/>
      <c r="F4" s="599"/>
      <c r="G4" s="599"/>
      <c r="H4" s="10">
        <v>1000</v>
      </c>
      <c r="I4" s="10">
        <v>1500</v>
      </c>
      <c r="J4" s="10">
        <v>300</v>
      </c>
      <c r="K4" s="10">
        <v>25</v>
      </c>
      <c r="L4" s="10">
        <v>2</v>
      </c>
    </row>
    <row r="5" spans="1:14">
      <c r="A5" s="14" t="s">
        <v>46</v>
      </c>
      <c r="B5" s="14" t="s">
        <v>39</v>
      </c>
      <c r="C5" s="599" t="s">
        <v>47</v>
      </c>
      <c r="D5" s="599"/>
      <c r="E5" s="599"/>
      <c r="F5" s="599"/>
      <c r="G5" s="599"/>
      <c r="H5" s="10">
        <v>1000</v>
      </c>
      <c r="I5" s="10">
        <v>2000</v>
      </c>
      <c r="J5" s="10">
        <v>300</v>
      </c>
      <c r="K5" s="10">
        <v>25</v>
      </c>
      <c r="L5" s="10">
        <v>2</v>
      </c>
    </row>
    <row r="6" spans="1:14">
      <c r="A6" s="14" t="s">
        <v>50</v>
      </c>
      <c r="B6" s="14" t="s">
        <v>51</v>
      </c>
      <c r="C6" s="599" t="s">
        <v>52</v>
      </c>
      <c r="D6" s="599"/>
      <c r="E6" s="599"/>
      <c r="F6" s="599"/>
      <c r="G6" s="599"/>
      <c r="H6" s="10">
        <v>800</v>
      </c>
      <c r="I6" s="10">
        <v>1000</v>
      </c>
      <c r="J6" s="10">
        <v>800</v>
      </c>
      <c r="K6" s="10">
        <v>200</v>
      </c>
      <c r="L6" s="10">
        <v>4</v>
      </c>
    </row>
    <row r="7" spans="1:14">
      <c r="A7" s="14" t="s">
        <v>54</v>
      </c>
      <c r="B7" s="14" t="s">
        <v>51</v>
      </c>
      <c r="C7" s="599" t="s">
        <v>55</v>
      </c>
      <c r="D7" s="599"/>
      <c r="E7" s="599"/>
      <c r="F7" s="599"/>
      <c r="G7" s="599"/>
      <c r="H7" s="10">
        <v>800</v>
      </c>
      <c r="I7" s="10">
        <v>1000</v>
      </c>
      <c r="J7" s="10">
        <v>800</v>
      </c>
      <c r="K7" s="10">
        <v>200</v>
      </c>
      <c r="L7" s="10">
        <v>4</v>
      </c>
    </row>
    <row r="8" spans="1:14">
      <c r="A8" s="14" t="s">
        <v>78</v>
      </c>
      <c r="B8" s="14" t="s">
        <v>69</v>
      </c>
      <c r="C8" s="599" t="s">
        <v>79</v>
      </c>
      <c r="D8" s="599"/>
      <c r="E8" s="599"/>
      <c r="F8" s="599"/>
      <c r="G8" s="599"/>
      <c r="H8" s="10">
        <v>1000</v>
      </c>
      <c r="I8" s="10">
        <v>2000</v>
      </c>
      <c r="J8" s="10">
        <v>1000</v>
      </c>
      <c r="K8" s="10">
        <v>12</v>
      </c>
      <c r="L8" s="10">
        <v>4</v>
      </c>
    </row>
    <row r="9" spans="1:14">
      <c r="A9" s="14" t="s">
        <v>84</v>
      </c>
      <c r="B9" s="14" t="s">
        <v>69</v>
      </c>
      <c r="C9" s="599" t="s">
        <v>85</v>
      </c>
      <c r="D9" s="599"/>
      <c r="E9" s="599"/>
      <c r="F9" s="599"/>
      <c r="G9" s="599"/>
      <c r="H9" s="10">
        <v>1000</v>
      </c>
      <c r="I9" s="10">
        <v>2000</v>
      </c>
      <c r="J9" s="10">
        <v>1000</v>
      </c>
      <c r="K9" s="10">
        <v>12</v>
      </c>
      <c r="L9" s="10">
        <v>4</v>
      </c>
    </row>
    <row r="10" spans="1:14">
      <c r="A10" s="14" t="s">
        <v>88</v>
      </c>
      <c r="B10" s="14" t="s">
        <v>51</v>
      </c>
      <c r="C10" s="599" t="s">
        <v>89</v>
      </c>
      <c r="D10" s="599"/>
      <c r="E10" s="599"/>
      <c r="F10" s="599"/>
      <c r="G10" s="599"/>
      <c r="H10" s="10">
        <v>460</v>
      </c>
      <c r="I10" s="10">
        <v>800</v>
      </c>
      <c r="J10" s="10">
        <v>550</v>
      </c>
      <c r="K10" s="10">
        <v>50</v>
      </c>
      <c r="L10" s="10">
        <v>4</v>
      </c>
    </row>
    <row r="11" spans="1:14">
      <c r="A11" s="14" t="s">
        <v>94</v>
      </c>
      <c r="B11" s="14" t="s">
        <v>51</v>
      </c>
      <c r="C11" s="599" t="s">
        <v>95</v>
      </c>
      <c r="D11" s="599"/>
      <c r="E11" s="599"/>
      <c r="F11" s="599"/>
      <c r="G11" s="599"/>
      <c r="H11" s="10">
        <v>800</v>
      </c>
      <c r="I11" s="10">
        <v>1500</v>
      </c>
      <c r="J11" s="10">
        <v>800</v>
      </c>
      <c r="K11" s="10">
        <v>50</v>
      </c>
      <c r="L11" s="10">
        <v>4</v>
      </c>
    </row>
    <row r="12" spans="1:14">
      <c r="A12" s="14" t="s">
        <v>131</v>
      </c>
      <c r="B12" s="14" t="s">
        <v>69</v>
      </c>
      <c r="C12" s="599" t="s">
        <v>132</v>
      </c>
      <c r="D12" s="599"/>
      <c r="E12" s="599"/>
      <c r="F12" s="599"/>
      <c r="G12" s="599"/>
      <c r="H12" s="10">
        <v>1000</v>
      </c>
      <c r="I12" s="10">
        <v>2000</v>
      </c>
      <c r="J12" s="10">
        <v>1000</v>
      </c>
      <c r="K12" s="10">
        <v>12</v>
      </c>
      <c r="L12" s="10">
        <v>2</v>
      </c>
    </row>
    <row r="13" spans="1:14">
      <c r="A13" s="14" t="s">
        <v>134</v>
      </c>
      <c r="B13" s="14" t="s">
        <v>69</v>
      </c>
      <c r="C13" s="599" t="s">
        <v>135</v>
      </c>
      <c r="D13" s="599"/>
      <c r="E13" s="599"/>
      <c r="F13" s="599"/>
      <c r="G13" s="599"/>
      <c r="H13" s="10">
        <v>1000</v>
      </c>
      <c r="I13" s="10">
        <v>2000</v>
      </c>
      <c r="J13" s="10">
        <v>1000</v>
      </c>
      <c r="K13" s="10">
        <v>12</v>
      </c>
      <c r="L13" s="10">
        <v>2</v>
      </c>
    </row>
    <row r="17" spans="1:34" ht="15.75">
      <c r="P17" s="120" t="s">
        <v>417</v>
      </c>
      <c r="Q17" s="120">
        <v>4000</v>
      </c>
      <c r="R17" s="120" t="s">
        <v>418</v>
      </c>
      <c r="U17" s="587" t="s">
        <v>419</v>
      </c>
      <c r="V17" s="587"/>
      <c r="W17" s="587" t="s">
        <v>420</v>
      </c>
      <c r="X17" s="587"/>
      <c r="Y17" s="587" t="s">
        <v>421</v>
      </c>
      <c r="Z17" s="587"/>
    </row>
    <row r="18" spans="1:34" ht="15.75">
      <c r="P18" s="120" t="s">
        <v>422</v>
      </c>
      <c r="Q18" s="120">
        <v>3000</v>
      </c>
      <c r="R18" s="120" t="s">
        <v>418</v>
      </c>
      <c r="U18" s="587"/>
      <c r="V18" s="587"/>
      <c r="W18" s="587"/>
      <c r="X18" s="587"/>
      <c r="Y18" s="587"/>
      <c r="Z18" s="587"/>
    </row>
    <row r="19" spans="1:34">
      <c r="U19" s="587"/>
      <c r="V19" s="587"/>
      <c r="W19" s="587"/>
      <c r="X19" s="587"/>
      <c r="Y19" s="587"/>
      <c r="Z19" s="587"/>
    </row>
    <row r="20" spans="1:34" ht="18">
      <c r="A20" s="602" t="s">
        <v>423</v>
      </c>
      <c r="B20" s="602"/>
      <c r="C20" s="602"/>
      <c r="D20" s="602"/>
      <c r="E20" s="602"/>
      <c r="F20" s="602"/>
      <c r="G20" s="602"/>
      <c r="H20" s="602"/>
      <c r="I20" s="602"/>
      <c r="J20" s="602"/>
      <c r="K20" s="602"/>
      <c r="L20" s="602"/>
      <c r="M20" s="602"/>
      <c r="N20" s="602"/>
      <c r="O20" s="602"/>
      <c r="U20" s="587"/>
      <c r="V20" s="587"/>
      <c r="W20" s="587"/>
      <c r="X20" s="587"/>
      <c r="Y20" s="587"/>
      <c r="Z20" s="587"/>
      <c r="AA20" s="15"/>
      <c r="AB20" s="15"/>
      <c r="AC20" s="15"/>
      <c r="AD20" s="15"/>
      <c r="AE20" s="15"/>
      <c r="AF20" s="15"/>
      <c r="AG20" s="15"/>
      <c r="AH20" s="15"/>
    </row>
    <row r="21" spans="1:34" ht="47.25" customHeight="1">
      <c r="A21" s="116" t="s">
        <v>125</v>
      </c>
      <c r="B21" s="116" t="s">
        <v>32</v>
      </c>
      <c r="C21" s="343" t="s">
        <v>33</v>
      </c>
      <c r="D21" s="343"/>
      <c r="E21" s="343"/>
      <c r="F21" s="343"/>
      <c r="G21" s="343"/>
      <c r="H21" s="116" t="s">
        <v>414</v>
      </c>
      <c r="I21" s="116" t="s">
        <v>415</v>
      </c>
      <c r="J21" s="116" t="s">
        <v>416</v>
      </c>
      <c r="K21" s="117" t="s">
        <v>35</v>
      </c>
      <c r="L21" s="116" t="s">
        <v>36</v>
      </c>
      <c r="M21" s="116" t="s">
        <v>424</v>
      </c>
      <c r="N21" s="117" t="s">
        <v>425</v>
      </c>
      <c r="O21" s="117" t="s">
        <v>426</v>
      </c>
      <c r="P21" s="117" t="s">
        <v>427</v>
      </c>
      <c r="Q21" s="117" t="s">
        <v>428</v>
      </c>
      <c r="R21" s="117" t="s">
        <v>429</v>
      </c>
      <c r="S21" s="117" t="s">
        <v>430</v>
      </c>
      <c r="T21" s="117" t="s">
        <v>431</v>
      </c>
      <c r="U21" s="182" t="s">
        <v>432</v>
      </c>
      <c r="V21" s="182" t="s">
        <v>433</v>
      </c>
      <c r="W21" s="182" t="s">
        <v>432</v>
      </c>
      <c r="X21" s="182" t="s">
        <v>433</v>
      </c>
      <c r="Y21" s="182" t="s">
        <v>432</v>
      </c>
      <c r="Z21" s="182" t="s">
        <v>433</v>
      </c>
    </row>
    <row r="22" spans="1:34" ht="15" customHeight="1">
      <c r="A22" s="14" t="s">
        <v>88</v>
      </c>
      <c r="B22" s="14" t="s">
        <v>51</v>
      </c>
      <c r="C22" s="590" t="s">
        <v>89</v>
      </c>
      <c r="D22" s="590"/>
      <c r="E22" s="590"/>
      <c r="F22" s="590"/>
      <c r="G22" s="590"/>
      <c r="H22" s="148">
        <f>H10+100</f>
        <v>560</v>
      </c>
      <c r="I22" s="148">
        <f>I10+100</f>
        <v>900</v>
      </c>
      <c r="J22" s="148">
        <f>J10+150</f>
        <v>700</v>
      </c>
      <c r="K22" s="10">
        <v>50</v>
      </c>
      <c r="L22" s="10">
        <v>4</v>
      </c>
      <c r="M22" s="355" t="s">
        <v>434</v>
      </c>
      <c r="N22" s="597">
        <f>H25*(2*I25+$Q$17)/10^6</f>
        <v>6.48</v>
      </c>
      <c r="O22" s="355">
        <f>INT(P38/(J23/10^3))+1</f>
        <v>8</v>
      </c>
      <c r="P22" s="521">
        <f>INT(P39/(J23/10^3))</f>
        <v>7</v>
      </c>
      <c r="Q22" s="355">
        <f>MIN(P22,O22)</f>
        <v>7</v>
      </c>
      <c r="R22" s="355">
        <f>2*Q22</f>
        <v>14</v>
      </c>
      <c r="S22" s="591">
        <f>N22/R22</f>
        <v>0.46285714285714291</v>
      </c>
      <c r="T22" s="355">
        <f>(SUM('$_WARE_BUFFER'!S11+'$_WARE_BUFFER'!S9+'$_WARE_BUFFER'!S10+'$_WARE_BUFFER'!S12))*S22</f>
        <v>138.39428571428573</v>
      </c>
      <c r="U22" s="593">
        <f>SQRT((T30)/2)</f>
        <v>8.0993826925266337</v>
      </c>
      <c r="V22" s="593">
        <f>U22*2</f>
        <v>16.198765385053267</v>
      </c>
      <c r="W22" s="591">
        <f>SQRT(R28/2)</f>
        <v>2.4494897427831779</v>
      </c>
      <c r="X22" s="591">
        <f>W22*2</f>
        <v>4.8989794855663558</v>
      </c>
      <c r="Y22" s="591">
        <f>SQRT((T22+T26)/2)</f>
        <v>15.846150200931335</v>
      </c>
      <c r="Z22" s="591">
        <f>Y22*2</f>
        <v>31.692300401862671</v>
      </c>
    </row>
    <row r="23" spans="1:34">
      <c r="A23" s="14" t="s">
        <v>50</v>
      </c>
      <c r="B23" s="14" t="s">
        <v>51</v>
      </c>
      <c r="C23" s="590" t="s">
        <v>52</v>
      </c>
      <c r="D23" s="590"/>
      <c r="E23" s="590"/>
      <c r="F23" s="590"/>
      <c r="G23" s="590"/>
      <c r="H23" s="148">
        <f>H6+100</f>
        <v>900</v>
      </c>
      <c r="I23" s="148">
        <f>I6+100</f>
        <v>1100</v>
      </c>
      <c r="J23" s="148">
        <f>J6+150</f>
        <v>950</v>
      </c>
      <c r="K23" s="10">
        <v>200</v>
      </c>
      <c r="L23" s="10">
        <v>4</v>
      </c>
      <c r="M23" s="355"/>
      <c r="N23" s="597"/>
      <c r="O23" s="355"/>
      <c r="P23" s="521"/>
      <c r="Q23" s="355"/>
      <c r="R23" s="355"/>
      <c r="S23" s="591"/>
      <c r="T23" s="355"/>
      <c r="U23" s="593"/>
      <c r="V23" s="593"/>
      <c r="W23" s="591"/>
      <c r="X23" s="591"/>
      <c r="Y23" s="591"/>
      <c r="Z23" s="591"/>
    </row>
    <row r="24" spans="1:34">
      <c r="A24" s="14" t="s">
        <v>54</v>
      </c>
      <c r="B24" s="14" t="s">
        <v>51</v>
      </c>
      <c r="C24" s="590" t="s">
        <v>55</v>
      </c>
      <c r="D24" s="590"/>
      <c r="E24" s="590"/>
      <c r="F24" s="590"/>
      <c r="G24" s="590"/>
      <c r="H24" s="148">
        <f>H7+100</f>
        <v>900</v>
      </c>
      <c r="I24" s="148">
        <f>I7+100</f>
        <v>1100</v>
      </c>
      <c r="J24" s="148">
        <f>J7+150</f>
        <v>950</v>
      </c>
      <c r="K24" s="10">
        <v>200</v>
      </c>
      <c r="L24" s="10">
        <v>4</v>
      </c>
      <c r="M24" s="355"/>
      <c r="N24" s="597"/>
      <c r="O24" s="355"/>
      <c r="P24" s="521"/>
      <c r="Q24" s="355"/>
      <c r="R24" s="355"/>
      <c r="S24" s="591"/>
      <c r="T24" s="355"/>
      <c r="U24" s="593"/>
      <c r="V24" s="593"/>
      <c r="W24" s="591"/>
      <c r="X24" s="591"/>
      <c r="Y24" s="591"/>
      <c r="Z24" s="591"/>
    </row>
    <row r="25" spans="1:34">
      <c r="A25" s="14" t="s">
        <v>94</v>
      </c>
      <c r="B25" s="14" t="s">
        <v>51</v>
      </c>
      <c r="C25" s="590" t="s">
        <v>95</v>
      </c>
      <c r="D25" s="590"/>
      <c r="E25" s="590"/>
      <c r="F25" s="590"/>
      <c r="G25" s="590"/>
      <c r="H25" s="148">
        <f>H11+100</f>
        <v>900</v>
      </c>
      <c r="I25" s="148">
        <f>I11+100</f>
        <v>1600</v>
      </c>
      <c r="J25" s="148">
        <f>J11+150</f>
        <v>950</v>
      </c>
      <c r="K25" s="10">
        <v>50</v>
      </c>
      <c r="L25" s="10">
        <v>4</v>
      </c>
      <c r="M25" s="355"/>
      <c r="N25" s="597"/>
      <c r="O25" s="355"/>
      <c r="P25" s="521"/>
      <c r="Q25" s="355"/>
      <c r="R25" s="355"/>
      <c r="S25" s="591"/>
      <c r="T25" s="355"/>
      <c r="U25" s="593"/>
      <c r="V25" s="593"/>
      <c r="W25" s="591"/>
      <c r="X25" s="591"/>
      <c r="Y25" s="591"/>
      <c r="Z25" s="591"/>
    </row>
    <row r="26" spans="1:34">
      <c r="A26" s="14" t="s">
        <v>78</v>
      </c>
      <c r="B26" s="14" t="s">
        <v>69</v>
      </c>
      <c r="C26" s="603" t="s">
        <v>435</v>
      </c>
      <c r="D26" s="603"/>
      <c r="E26" s="603"/>
      <c r="F26" s="603"/>
      <c r="G26" s="603"/>
      <c r="H26" s="147">
        <f>H8+100</f>
        <v>1100</v>
      </c>
      <c r="I26" s="147">
        <f>I8+100</f>
        <v>2100</v>
      </c>
      <c r="J26" s="147">
        <f>J8+150</f>
        <v>1150</v>
      </c>
      <c r="K26" s="10">
        <v>12</v>
      </c>
      <c r="L26" s="10">
        <v>4</v>
      </c>
      <c r="M26" s="355" t="s">
        <v>434</v>
      </c>
      <c r="N26" s="598">
        <f>(H27*(2*I27+Q17))/10^6</f>
        <v>9.02</v>
      </c>
      <c r="O26" s="355">
        <f>INT(P38/(J27/10^3))+1</f>
        <v>6</v>
      </c>
      <c r="P26" s="355">
        <f>INT(P39/(J27/10^3))</f>
        <v>6</v>
      </c>
      <c r="Q26" s="355">
        <f>MIN(O26,P26)</f>
        <v>6</v>
      </c>
      <c r="R26" s="355">
        <f>2*Q26</f>
        <v>12</v>
      </c>
      <c r="S26" s="355">
        <f>N26/R26</f>
        <v>0.75166666666666659</v>
      </c>
      <c r="T26" s="355">
        <f>(SUM('$_WARE_BUFFER'!S13+'$_WARE_BUFFER'!S14))*S26</f>
        <v>363.80666666666662</v>
      </c>
      <c r="U26" s="593"/>
      <c r="V26" s="593"/>
      <c r="W26" s="591"/>
      <c r="X26" s="591"/>
      <c r="Y26" s="591"/>
      <c r="Z26" s="591"/>
    </row>
    <row r="27" spans="1:34">
      <c r="A27" s="14" t="s">
        <v>84</v>
      </c>
      <c r="B27" s="14" t="s">
        <v>69</v>
      </c>
      <c r="C27" s="603" t="s">
        <v>85</v>
      </c>
      <c r="D27" s="603"/>
      <c r="E27" s="603"/>
      <c r="F27" s="603"/>
      <c r="G27" s="603"/>
      <c r="H27" s="147">
        <f>H9+100</f>
        <v>1100</v>
      </c>
      <c r="I27" s="147">
        <f>I9+100</f>
        <v>2100</v>
      </c>
      <c r="J27" s="147">
        <f>J9+150</f>
        <v>1150</v>
      </c>
      <c r="K27" s="10">
        <v>12</v>
      </c>
      <c r="L27" s="10">
        <v>4</v>
      </c>
      <c r="M27" s="355"/>
      <c r="N27" s="598"/>
      <c r="O27" s="355"/>
      <c r="P27" s="355"/>
      <c r="Q27" s="355"/>
      <c r="R27" s="355"/>
      <c r="S27" s="355"/>
      <c r="T27" s="355"/>
      <c r="U27" s="593"/>
      <c r="V27" s="593"/>
      <c r="W27" s="591"/>
      <c r="X27" s="591"/>
      <c r="Y27" s="591"/>
      <c r="Z27" s="591"/>
    </row>
    <row r="28" spans="1:34">
      <c r="A28" s="14" t="s">
        <v>131</v>
      </c>
      <c r="B28" s="14" t="s">
        <v>69</v>
      </c>
      <c r="C28" s="589" t="s">
        <v>132</v>
      </c>
      <c r="D28" s="589"/>
      <c r="E28" s="589"/>
      <c r="F28" s="589"/>
      <c r="G28" s="589"/>
      <c r="H28" s="273">
        <f>H12+100</f>
        <v>1100</v>
      </c>
      <c r="I28" s="273">
        <f>I12+100</f>
        <v>2100</v>
      </c>
      <c r="J28" s="273">
        <f>J12+150</f>
        <v>1150</v>
      </c>
      <c r="K28" s="10">
        <v>12</v>
      </c>
      <c r="L28" s="10">
        <v>2</v>
      </c>
      <c r="M28" s="355" t="s">
        <v>434</v>
      </c>
      <c r="N28" s="604">
        <f>(H29*(2*I29+Q17))/10^6</f>
        <v>9.02</v>
      </c>
      <c r="O28" s="355">
        <f>INT(P38/(J28/10^3))+1</f>
        <v>6</v>
      </c>
      <c r="P28" s="355">
        <f>INT(P39/(J29/10^3))</f>
        <v>6</v>
      </c>
      <c r="Q28" s="355">
        <f>MIN(O28,P28)</f>
        <v>6</v>
      </c>
      <c r="R28" s="355">
        <f>2*Q28</f>
        <v>12</v>
      </c>
      <c r="S28" s="355">
        <f>N28/R28</f>
        <v>0.75166666666666659</v>
      </c>
      <c r="T28" s="355">
        <f>SUM('$_WARE_BUFFER'!S15:S16)*S28</f>
        <v>597.57499999999993</v>
      </c>
      <c r="U28" s="593"/>
      <c r="V28" s="593"/>
      <c r="W28" s="591"/>
      <c r="X28" s="591"/>
      <c r="Y28" s="591"/>
      <c r="Z28" s="591"/>
    </row>
    <row r="29" spans="1:34">
      <c r="A29" s="14" t="s">
        <v>134</v>
      </c>
      <c r="B29" s="14" t="s">
        <v>69</v>
      </c>
      <c r="C29" s="589" t="s">
        <v>135</v>
      </c>
      <c r="D29" s="589"/>
      <c r="E29" s="589"/>
      <c r="F29" s="589"/>
      <c r="G29" s="589"/>
      <c r="H29" s="273">
        <f>H13+100</f>
        <v>1100</v>
      </c>
      <c r="I29" s="273">
        <f>I13+100</f>
        <v>2100</v>
      </c>
      <c r="J29" s="273">
        <f>J13+150</f>
        <v>1150</v>
      </c>
      <c r="K29" s="10">
        <v>12</v>
      </c>
      <c r="L29" s="10">
        <v>2</v>
      </c>
      <c r="M29" s="355"/>
      <c r="N29" s="604"/>
      <c r="O29" s="355"/>
      <c r="P29" s="355"/>
      <c r="Q29" s="355"/>
      <c r="R29" s="355"/>
      <c r="S29" s="355"/>
      <c r="T29" s="355"/>
      <c r="U29" s="593"/>
      <c r="V29" s="593"/>
      <c r="W29" s="591"/>
      <c r="X29" s="591"/>
      <c r="Y29" s="591"/>
      <c r="Z29" s="591"/>
    </row>
    <row r="30" spans="1:34">
      <c r="A30" s="14" t="s">
        <v>42</v>
      </c>
      <c r="B30" s="14" t="s">
        <v>39</v>
      </c>
      <c r="C30" s="588" t="s">
        <v>43</v>
      </c>
      <c r="D30" s="588"/>
      <c r="E30" s="588"/>
      <c r="F30" s="588"/>
      <c r="G30" s="588"/>
      <c r="H30" s="170">
        <f>H4+100</f>
        <v>1100</v>
      </c>
      <c r="I30" s="170">
        <f>I4+100</f>
        <v>1600</v>
      </c>
      <c r="J30" s="170">
        <f>J4+150</f>
        <v>450</v>
      </c>
      <c r="K30" s="10">
        <v>25</v>
      </c>
      <c r="L30" s="10">
        <v>2</v>
      </c>
      <c r="M30" s="355" t="s">
        <v>434</v>
      </c>
      <c r="N30" s="596">
        <f>(H32*(2*I32+Q17))/10^6</f>
        <v>13.12</v>
      </c>
      <c r="O30" s="355">
        <f>INT(P38/(J30/10^3))+1</f>
        <v>15</v>
      </c>
      <c r="P30" s="355">
        <f>INT(P39/(J30/10^3))</f>
        <v>15</v>
      </c>
      <c r="Q30" s="355">
        <f>MIN(P30,O30)</f>
        <v>15</v>
      </c>
      <c r="R30" s="355">
        <f>2*Q30</f>
        <v>30</v>
      </c>
      <c r="S30" s="355">
        <f>N30/R30</f>
        <v>0.4373333333333333</v>
      </c>
      <c r="T30" s="355">
        <f>(SUM('$_WARE_BUFFER'!S6+'$_WARE_BUFFER'!S7+'$_WARE_BUFFER'!S8))*S30</f>
        <v>131.19999999999999</v>
      </c>
      <c r="U30" s="593"/>
      <c r="V30" s="593"/>
      <c r="W30" s="591"/>
      <c r="X30" s="591"/>
      <c r="Y30" s="591"/>
      <c r="Z30" s="591"/>
    </row>
    <row r="31" spans="1:34">
      <c r="A31" s="14" t="s">
        <v>46</v>
      </c>
      <c r="B31" s="14" t="s">
        <v>39</v>
      </c>
      <c r="C31" s="588" t="s">
        <v>47</v>
      </c>
      <c r="D31" s="588"/>
      <c r="E31" s="588"/>
      <c r="F31" s="588"/>
      <c r="G31" s="588"/>
      <c r="H31" s="170">
        <f>H5+100</f>
        <v>1100</v>
      </c>
      <c r="I31" s="170">
        <f>I5+100</f>
        <v>2100</v>
      </c>
      <c r="J31" s="170">
        <f>J5+150</f>
        <v>450</v>
      </c>
      <c r="K31" s="10">
        <v>25</v>
      </c>
      <c r="L31" s="10">
        <v>2</v>
      </c>
      <c r="M31" s="355"/>
      <c r="N31" s="596"/>
      <c r="O31" s="355"/>
      <c r="P31" s="355"/>
      <c r="Q31" s="355"/>
      <c r="R31" s="355"/>
      <c r="S31" s="355"/>
      <c r="T31" s="355"/>
      <c r="U31" s="593"/>
      <c r="V31" s="593"/>
      <c r="W31" s="591"/>
      <c r="X31" s="591"/>
      <c r="Y31" s="591"/>
      <c r="Z31" s="591"/>
    </row>
    <row r="32" spans="1:34">
      <c r="A32" s="14" t="s">
        <v>38</v>
      </c>
      <c r="B32" s="14" t="s">
        <v>39</v>
      </c>
      <c r="C32" s="588" t="s">
        <v>40</v>
      </c>
      <c r="D32" s="588"/>
      <c r="E32" s="588"/>
      <c r="F32" s="588"/>
      <c r="G32" s="588"/>
      <c r="H32" s="170">
        <f>H3+100</f>
        <v>1600</v>
      </c>
      <c r="I32" s="170">
        <f>I3+100</f>
        <v>2100</v>
      </c>
      <c r="J32" s="170">
        <f>J3+150</f>
        <v>450</v>
      </c>
      <c r="K32" s="10">
        <v>25</v>
      </c>
      <c r="L32" s="10">
        <v>2</v>
      </c>
      <c r="M32" s="355"/>
      <c r="N32" s="596"/>
      <c r="O32" s="355">
        <f>INT(P38/(J32/10^3))+1</f>
        <v>15</v>
      </c>
      <c r="P32" s="355">
        <f>INT(P39/(J32/10^3))</f>
        <v>15</v>
      </c>
      <c r="Q32" s="355">
        <f>MIN(O32,P32)</f>
        <v>15</v>
      </c>
      <c r="R32" s="355">
        <f>2*Q32</f>
        <v>30</v>
      </c>
      <c r="S32" s="355">
        <f>N30/R32</f>
        <v>0.4373333333333333</v>
      </c>
      <c r="T32" s="355">
        <f>'$_WARE_BUFFER'!S6*S32</f>
        <v>27.551999999999996</v>
      </c>
      <c r="U32" s="594"/>
      <c r="V32" s="594"/>
      <c r="W32" s="592"/>
      <c r="X32" s="592"/>
      <c r="Y32" s="592"/>
      <c r="Z32" s="592"/>
    </row>
    <row r="33" spans="13:26">
      <c r="U33" s="184" t="s">
        <v>436</v>
      </c>
      <c r="V33" s="184" t="s">
        <v>437</v>
      </c>
      <c r="W33" s="184" t="s">
        <v>436</v>
      </c>
      <c r="X33" s="184" t="s">
        <v>437</v>
      </c>
      <c r="Y33" s="184" t="s">
        <v>436</v>
      </c>
      <c r="Z33" s="184" t="s">
        <v>437</v>
      </c>
    </row>
    <row r="34" spans="13:26">
      <c r="U34" s="183">
        <f>ROUNDUP(U22*1000,-1)</f>
        <v>8100</v>
      </c>
      <c r="V34" s="183">
        <f t="shared" ref="V34:Z34" si="0">ROUNDUP(V22*1000,-1)</f>
        <v>16200</v>
      </c>
      <c r="W34" s="183">
        <f t="shared" si="0"/>
        <v>2450</v>
      </c>
      <c r="X34" s="183">
        <f t="shared" si="0"/>
        <v>4900</v>
      </c>
      <c r="Y34" s="183">
        <f t="shared" si="0"/>
        <v>15850</v>
      </c>
      <c r="Z34" s="183">
        <f t="shared" si="0"/>
        <v>31700</v>
      </c>
    </row>
    <row r="37" spans="13:26" ht="14.65" thickBot="1"/>
    <row r="38" spans="13:26">
      <c r="N38" s="605" t="s">
        <v>438</v>
      </c>
      <c r="O38" s="605"/>
      <c r="P38" s="180">
        <v>6.7</v>
      </c>
    </row>
    <row r="39" spans="13:26" ht="14.65" thickBot="1">
      <c r="N39" s="595" t="s">
        <v>439</v>
      </c>
      <c r="O39" s="595"/>
      <c r="P39" s="181">
        <v>7</v>
      </c>
    </row>
    <row r="40" spans="13:26">
      <c r="M40" s="151"/>
      <c r="R40" s="149"/>
    </row>
    <row r="54" spans="1:25" ht="18">
      <c r="A54" s="585" t="s">
        <v>440</v>
      </c>
      <c r="B54" s="585"/>
      <c r="C54" s="585"/>
      <c r="D54" s="585"/>
      <c r="E54" s="585"/>
      <c r="F54" s="585"/>
      <c r="G54" s="585"/>
      <c r="H54" s="585"/>
      <c r="I54" s="585"/>
      <c r="J54" s="585"/>
      <c r="K54" s="585"/>
      <c r="L54" s="585"/>
      <c r="M54" s="585"/>
      <c r="N54" s="585"/>
      <c r="O54" s="585"/>
      <c r="P54" s="585"/>
      <c r="Q54" s="585"/>
      <c r="R54" s="585"/>
      <c r="S54" s="585"/>
      <c r="T54" s="585"/>
      <c r="U54" s="585"/>
      <c r="V54" s="585"/>
    </row>
    <row r="55" spans="1:25" ht="15.75">
      <c r="A55" s="581" t="s">
        <v>125</v>
      </c>
      <c r="B55" s="581" t="s">
        <v>32</v>
      </c>
      <c r="C55" s="584" t="s">
        <v>33</v>
      </c>
      <c r="D55" s="584"/>
      <c r="E55" s="584"/>
      <c r="F55" s="584"/>
      <c r="G55" s="584"/>
      <c r="H55" s="581" t="s">
        <v>414</v>
      </c>
      <c r="I55" s="581" t="s">
        <v>415</v>
      </c>
      <c r="J55" s="581" t="s">
        <v>416</v>
      </c>
      <c r="K55" s="171" t="s">
        <v>441</v>
      </c>
      <c r="L55" s="581" t="s">
        <v>36</v>
      </c>
      <c r="M55" s="581" t="s">
        <v>424</v>
      </c>
      <c r="N55" s="575" t="s">
        <v>442</v>
      </c>
      <c r="O55" s="575" t="s">
        <v>443</v>
      </c>
      <c r="P55" s="575" t="s">
        <v>444</v>
      </c>
      <c r="Q55" s="575" t="s">
        <v>425</v>
      </c>
      <c r="R55" s="613" t="s">
        <v>445</v>
      </c>
      <c r="S55" s="575" t="s">
        <v>429</v>
      </c>
      <c r="T55" s="575" t="s">
        <v>430</v>
      </c>
      <c r="U55" s="575" t="s">
        <v>431</v>
      </c>
      <c r="V55" s="578" t="s">
        <v>432</v>
      </c>
      <c r="W55" s="578" t="s">
        <v>433</v>
      </c>
      <c r="X55" s="574" t="s">
        <v>436</v>
      </c>
      <c r="Y55" s="574" t="s">
        <v>437</v>
      </c>
    </row>
    <row r="56" spans="1:25" ht="31.5">
      <c r="A56" s="581"/>
      <c r="B56" s="581"/>
      <c r="C56" s="584"/>
      <c r="D56" s="584"/>
      <c r="E56" s="584"/>
      <c r="F56" s="584"/>
      <c r="G56" s="584"/>
      <c r="H56" s="581"/>
      <c r="I56" s="581"/>
      <c r="J56" s="581"/>
      <c r="K56" s="172" t="s">
        <v>446</v>
      </c>
      <c r="L56" s="581"/>
      <c r="M56" s="581"/>
      <c r="N56" s="575"/>
      <c r="O56" s="575"/>
      <c r="P56" s="575"/>
      <c r="Q56" s="575"/>
      <c r="R56" s="614"/>
      <c r="S56" s="576"/>
      <c r="T56" s="576"/>
      <c r="U56" s="576"/>
      <c r="V56" s="579"/>
      <c r="W56" s="579"/>
      <c r="X56" s="574"/>
      <c r="Y56" s="574"/>
    </row>
    <row r="57" spans="1:25">
      <c r="A57" s="175" t="s">
        <v>98</v>
      </c>
      <c r="B57" s="152" t="s">
        <v>39</v>
      </c>
      <c r="C57" s="580" t="s">
        <v>447</v>
      </c>
      <c r="D57" s="580"/>
      <c r="E57" s="580"/>
      <c r="F57" s="580"/>
      <c r="G57" s="580"/>
      <c r="H57" s="173">
        <v>1600</v>
      </c>
      <c r="I57" s="173">
        <v>2100</v>
      </c>
      <c r="J57" s="173">
        <v>950</v>
      </c>
      <c r="K57" s="173">
        <v>25</v>
      </c>
      <c r="L57" s="173">
        <v>1</v>
      </c>
      <c r="M57" s="573" t="s">
        <v>448</v>
      </c>
      <c r="N57" s="573">
        <v>6</v>
      </c>
      <c r="O57" s="573">
        <f>INT(P38/(J58/10^3))+1</f>
        <v>8</v>
      </c>
      <c r="P57" s="573">
        <f>INT((P39/(J58/10^3)))</f>
        <v>7</v>
      </c>
      <c r="Q57" s="573">
        <f>((2*Q17/10^3)+(6*I57/10^3))*(H57/10^3)</f>
        <v>32.96</v>
      </c>
      <c r="R57" s="582">
        <v>6</v>
      </c>
      <c r="S57" s="573">
        <f>N57*R57</f>
        <v>36</v>
      </c>
      <c r="T57" s="573">
        <f>Q57/S57</f>
        <v>0.91555555555555557</v>
      </c>
      <c r="U57" s="573">
        <f>('$_WARE_BUFFER'!S24+'$_WARE_BUFFER'!S26)*T57+(2*Q17*H57/10^6)</f>
        <v>44.844444444444449</v>
      </c>
      <c r="V57" s="606">
        <f>SQRT(U61/2)</f>
        <v>5.7089598196363429</v>
      </c>
      <c r="W57" s="609">
        <f>2*V57</f>
        <v>11.417919639272686</v>
      </c>
      <c r="X57" s="355">
        <f>ROUNDUP(V57*1000,-1)</f>
        <v>5710</v>
      </c>
      <c r="Y57" s="355">
        <f>ROUNDUP(W57*1000,-1)</f>
        <v>11420</v>
      </c>
    </row>
    <row r="58" spans="1:25">
      <c r="A58" s="145" t="s">
        <v>102</v>
      </c>
      <c r="B58" s="146" t="s">
        <v>39</v>
      </c>
      <c r="C58" s="580" t="s">
        <v>449</v>
      </c>
      <c r="D58" s="580"/>
      <c r="E58" s="580"/>
      <c r="F58" s="580"/>
      <c r="G58" s="580"/>
      <c r="H58" s="173">
        <v>1600</v>
      </c>
      <c r="I58" s="173">
        <v>2100</v>
      </c>
      <c r="J58" s="173">
        <v>950</v>
      </c>
      <c r="K58" s="173">
        <v>25</v>
      </c>
      <c r="L58" s="173">
        <v>1</v>
      </c>
      <c r="M58" s="573"/>
      <c r="N58" s="573"/>
      <c r="O58" s="573"/>
      <c r="P58" s="573"/>
      <c r="Q58" s="573"/>
      <c r="R58" s="583"/>
      <c r="S58" s="586"/>
      <c r="T58" s="586"/>
      <c r="U58" s="586"/>
      <c r="V58" s="607"/>
      <c r="W58" s="610"/>
      <c r="X58" s="355"/>
      <c r="Y58" s="355"/>
    </row>
    <row r="59" spans="1:25">
      <c r="A59" s="145" t="s">
        <v>102</v>
      </c>
      <c r="B59" s="146" t="s">
        <v>51</v>
      </c>
      <c r="C59" s="580" t="s">
        <v>450</v>
      </c>
      <c r="D59" s="580"/>
      <c r="E59" s="580"/>
      <c r="F59" s="580"/>
      <c r="G59" s="580"/>
      <c r="H59" s="174">
        <v>900</v>
      </c>
      <c r="I59" s="174">
        <v>1100</v>
      </c>
      <c r="J59" s="174">
        <v>950</v>
      </c>
      <c r="K59" s="174">
        <v>200</v>
      </c>
      <c r="L59" s="174">
        <v>4</v>
      </c>
      <c r="M59" s="573" t="s">
        <v>448</v>
      </c>
      <c r="N59" s="573">
        <v>5</v>
      </c>
      <c r="O59" s="573">
        <f>INT(P38/(J59/10^3))+1</f>
        <v>8</v>
      </c>
      <c r="P59" s="573">
        <f>INT((P39/(J60/10^3)))</f>
        <v>7</v>
      </c>
      <c r="Q59" s="573">
        <f>((2*Q17/10^3)+(6*I59/10^3))*(H59/10^3)</f>
        <v>13.14</v>
      </c>
      <c r="R59" s="582">
        <v>6</v>
      </c>
      <c r="S59" s="573">
        <f>N59*R59</f>
        <v>30</v>
      </c>
      <c r="T59" s="573">
        <f>Q59/S59</f>
        <v>0.438</v>
      </c>
      <c r="U59" s="573">
        <f>('$_WARE_BUFFER'!S28+'$_WARE_BUFFER'!S30)*T59+(2*Q17*H59/10^6)</f>
        <v>20.34</v>
      </c>
      <c r="V59" s="607"/>
      <c r="W59" s="610"/>
      <c r="X59" s="355"/>
      <c r="Y59" s="355"/>
    </row>
    <row r="60" spans="1:25">
      <c r="A60" s="145" t="s">
        <v>117</v>
      </c>
      <c r="B60" s="146" t="s">
        <v>51</v>
      </c>
      <c r="C60" s="580" t="s">
        <v>451</v>
      </c>
      <c r="D60" s="580"/>
      <c r="E60" s="580"/>
      <c r="F60" s="580"/>
      <c r="G60" s="580"/>
      <c r="H60" s="174">
        <v>900</v>
      </c>
      <c r="I60" s="174">
        <v>1100</v>
      </c>
      <c r="J60" s="174">
        <v>950</v>
      </c>
      <c r="K60" s="174">
        <v>200</v>
      </c>
      <c r="L60" s="174">
        <v>4</v>
      </c>
      <c r="M60" s="573"/>
      <c r="N60" s="573"/>
      <c r="O60" s="573"/>
      <c r="P60" s="573"/>
      <c r="Q60" s="573"/>
      <c r="R60" s="583" t="e">
        <f>INT(6.5/(#REF!/10^3))+1</f>
        <v>#REF!</v>
      </c>
      <c r="S60" s="586" t="e">
        <f>2*#REF!</f>
        <v>#REF!</v>
      </c>
      <c r="T60" s="586" t="e">
        <f>Q60/S60</f>
        <v>#REF!</v>
      </c>
      <c r="U60" s="586" t="e">
        <f>T60*('[1]$_WARE_BUFFER'!S44+'[1]$_WARE_BUFFER'!S45)</f>
        <v>#REF!</v>
      </c>
      <c r="V60" s="608"/>
      <c r="W60" s="611"/>
      <c r="X60" s="355"/>
      <c r="Y60" s="355"/>
    </row>
    <row r="61" spans="1:25">
      <c r="U61">
        <f>U57+U59</f>
        <v>65.184444444444452</v>
      </c>
    </row>
    <row r="64" spans="1:25" ht="18">
      <c r="A64" s="585" t="s">
        <v>452</v>
      </c>
      <c r="B64" s="585"/>
      <c r="C64" s="585"/>
      <c r="D64" s="585"/>
      <c r="E64" s="585"/>
      <c r="F64" s="585"/>
      <c r="G64" s="585"/>
      <c r="H64" s="585"/>
      <c r="I64" s="585"/>
      <c r="J64" s="585"/>
      <c r="K64" s="585"/>
      <c r="L64" s="585"/>
      <c r="M64" s="585"/>
      <c r="N64" s="585"/>
      <c r="O64" s="585"/>
      <c r="P64" s="585"/>
      <c r="Q64" s="585"/>
      <c r="R64" s="585"/>
      <c r="S64" s="585"/>
      <c r="T64" s="585"/>
      <c r="U64" s="585"/>
      <c r="V64" s="585"/>
    </row>
    <row r="65" spans="1:26" ht="17.25" customHeight="1">
      <c r="A65" s="581" t="s">
        <v>125</v>
      </c>
      <c r="B65" s="581" t="s">
        <v>32</v>
      </c>
      <c r="C65" s="584" t="s">
        <v>33</v>
      </c>
      <c r="D65" s="584"/>
      <c r="E65" s="584"/>
      <c r="F65" s="584"/>
      <c r="G65" s="584"/>
      <c r="H65" s="581" t="s">
        <v>414</v>
      </c>
      <c r="I65" s="581" t="s">
        <v>415</v>
      </c>
      <c r="J65" s="581" t="s">
        <v>416</v>
      </c>
      <c r="K65" s="171" t="s">
        <v>441</v>
      </c>
      <c r="L65" s="581" t="s">
        <v>36</v>
      </c>
      <c r="M65" s="581" t="s">
        <v>424</v>
      </c>
      <c r="N65" s="575" t="s">
        <v>442</v>
      </c>
      <c r="O65" s="575" t="s">
        <v>443</v>
      </c>
      <c r="P65" s="575" t="s">
        <v>444</v>
      </c>
      <c r="Q65" s="575" t="s">
        <v>425</v>
      </c>
      <c r="R65" s="575" t="s">
        <v>445</v>
      </c>
      <c r="S65" s="575" t="s">
        <v>429</v>
      </c>
      <c r="T65" s="575" t="s">
        <v>430</v>
      </c>
      <c r="U65" s="575" t="s">
        <v>431</v>
      </c>
      <c r="V65" s="578" t="s">
        <v>432</v>
      </c>
      <c r="W65" s="578" t="s">
        <v>433</v>
      </c>
      <c r="X65" s="574" t="s">
        <v>436</v>
      </c>
      <c r="Y65" s="574" t="s">
        <v>437</v>
      </c>
    </row>
    <row r="66" spans="1:26" ht="31.5">
      <c r="A66" s="581"/>
      <c r="B66" s="581"/>
      <c r="C66" s="584"/>
      <c r="D66" s="584"/>
      <c r="E66" s="584"/>
      <c r="F66" s="584"/>
      <c r="G66" s="584"/>
      <c r="H66" s="581"/>
      <c r="I66" s="581"/>
      <c r="J66" s="581"/>
      <c r="K66" s="172" t="s">
        <v>446</v>
      </c>
      <c r="L66" s="581"/>
      <c r="M66" s="581"/>
      <c r="N66" s="575"/>
      <c r="O66" s="575"/>
      <c r="P66" s="575"/>
      <c r="Q66" s="575"/>
      <c r="R66" s="575"/>
      <c r="S66" s="575"/>
      <c r="T66" s="575"/>
      <c r="U66" s="575"/>
      <c r="V66" s="578"/>
      <c r="W66" s="578"/>
      <c r="X66" s="574"/>
      <c r="Y66" s="574"/>
    </row>
    <row r="67" spans="1:26">
      <c r="A67" s="175" t="s">
        <v>107</v>
      </c>
      <c r="B67" s="152" t="s">
        <v>39</v>
      </c>
      <c r="C67" s="580" t="s">
        <v>453</v>
      </c>
      <c r="D67" s="580"/>
      <c r="E67" s="580"/>
      <c r="F67" s="580"/>
      <c r="G67" s="580"/>
      <c r="H67" s="176">
        <v>1600</v>
      </c>
      <c r="I67" s="176">
        <v>2100</v>
      </c>
      <c r="J67" s="176">
        <v>950</v>
      </c>
      <c r="K67" s="176">
        <v>25</v>
      </c>
      <c r="L67" s="176">
        <v>1</v>
      </c>
      <c r="M67" s="573" t="s">
        <v>448</v>
      </c>
      <c r="N67" s="573">
        <v>6</v>
      </c>
      <c r="O67" s="573">
        <f>INT(P38/(J68/10^3))+1</f>
        <v>8</v>
      </c>
      <c r="P67" s="573">
        <f>INT((P39/(J68/10^3)))</f>
        <v>7</v>
      </c>
      <c r="Q67" s="573">
        <f>((2*Q17/10^3)+(6*I68/10^3))*(H68/10^3)</f>
        <v>32.96</v>
      </c>
      <c r="R67" s="573">
        <v>6</v>
      </c>
      <c r="S67" s="573">
        <f>N67*R67</f>
        <v>36</v>
      </c>
      <c r="T67" s="573">
        <f>Q67/S67</f>
        <v>0.91555555555555557</v>
      </c>
      <c r="U67" s="573">
        <f>('$_WARE_BUFFER'!S23+'$_WARE_BUFFER'!S25)*T67+(2*Q17*H68/10^6)</f>
        <v>44.844444444444449</v>
      </c>
      <c r="V67" s="606">
        <f>SQRT(U71/2)</f>
        <v>5.7089598196363429</v>
      </c>
      <c r="W67" s="609">
        <f>2*V67</f>
        <v>11.417919639272686</v>
      </c>
      <c r="X67" s="355">
        <f t="shared" ref="X67" si="1">ROUNDUP(V67*1000,-1)</f>
        <v>5710</v>
      </c>
      <c r="Y67" s="355">
        <f t="shared" ref="Y67" si="2">ROUNDUP(W67*1000,-1)</f>
        <v>11420</v>
      </c>
    </row>
    <row r="68" spans="1:26">
      <c r="A68" s="145" t="s">
        <v>114</v>
      </c>
      <c r="B68" s="146" t="s">
        <v>39</v>
      </c>
      <c r="C68" s="580" t="s">
        <v>454</v>
      </c>
      <c r="D68" s="580"/>
      <c r="E68" s="580"/>
      <c r="F68" s="580"/>
      <c r="G68" s="580"/>
      <c r="H68" s="177">
        <v>1600</v>
      </c>
      <c r="I68" s="177">
        <v>2100</v>
      </c>
      <c r="J68" s="177">
        <v>950</v>
      </c>
      <c r="K68" s="177">
        <v>25</v>
      </c>
      <c r="L68" s="177">
        <v>1</v>
      </c>
      <c r="M68" s="573"/>
      <c r="N68" s="573"/>
      <c r="O68" s="573"/>
      <c r="P68" s="573"/>
      <c r="Q68" s="573"/>
      <c r="R68" s="573"/>
      <c r="S68" s="573"/>
      <c r="T68" s="573"/>
      <c r="U68" s="573"/>
      <c r="V68" s="606"/>
      <c r="W68" s="609"/>
      <c r="X68" s="355"/>
      <c r="Y68" s="355"/>
    </row>
    <row r="69" spans="1:26">
      <c r="A69" s="145" t="s">
        <v>119</v>
      </c>
      <c r="B69" s="146" t="s">
        <v>51</v>
      </c>
      <c r="C69" s="580" t="s">
        <v>137</v>
      </c>
      <c r="D69" s="580"/>
      <c r="E69" s="580"/>
      <c r="F69" s="580"/>
      <c r="G69" s="580"/>
      <c r="H69" s="178">
        <v>900</v>
      </c>
      <c r="I69" s="178">
        <v>1100</v>
      </c>
      <c r="J69" s="178">
        <v>950</v>
      </c>
      <c r="K69" s="178">
        <v>200</v>
      </c>
      <c r="L69" s="178">
        <v>4</v>
      </c>
      <c r="M69" s="573" t="s">
        <v>448</v>
      </c>
      <c r="N69" s="573">
        <v>5</v>
      </c>
      <c r="O69" s="573">
        <f>INT(P38/(J70/10^3))+1</f>
        <v>8</v>
      </c>
      <c r="P69" s="573">
        <f>INT((P39/(J70/10^3)))</f>
        <v>7</v>
      </c>
      <c r="Q69" s="573">
        <f>((2*Q17/10^3)+(6*I70/10^3))*(H70/10^3)</f>
        <v>13.14</v>
      </c>
      <c r="R69" s="573">
        <v>6</v>
      </c>
      <c r="S69" s="573">
        <f>N69*R69</f>
        <v>30</v>
      </c>
      <c r="T69" s="573">
        <f>Q69/S69</f>
        <v>0.438</v>
      </c>
      <c r="U69" s="573">
        <f>('$_WARE_BUFFER'!S27+'$_WARE_BUFFER'!S29)*T69+(2*Q17*H69/10^6)</f>
        <v>20.34</v>
      </c>
      <c r="V69" s="606"/>
      <c r="W69" s="609"/>
      <c r="X69" s="355"/>
      <c r="Y69" s="355"/>
    </row>
    <row r="70" spans="1:26">
      <c r="A70" s="145" t="s">
        <v>122</v>
      </c>
      <c r="B70" s="146" t="s">
        <v>51</v>
      </c>
      <c r="C70" s="580" t="s">
        <v>139</v>
      </c>
      <c r="D70" s="580"/>
      <c r="E70" s="580"/>
      <c r="F70" s="580"/>
      <c r="G70" s="580"/>
      <c r="H70" s="178">
        <v>900</v>
      </c>
      <c r="I70" s="178">
        <v>1100</v>
      </c>
      <c r="J70" s="178">
        <v>950</v>
      </c>
      <c r="K70" s="178">
        <v>200</v>
      </c>
      <c r="L70" s="178">
        <v>4</v>
      </c>
      <c r="M70" s="573"/>
      <c r="N70" s="573"/>
      <c r="O70" s="573"/>
      <c r="P70" s="573"/>
      <c r="Q70" s="573">
        <f>H70*(2*I70+$O$15)/10^6</f>
        <v>1.98</v>
      </c>
      <c r="R70" s="573" t="e">
        <f>INT(6.5/(J71/10^3))+1</f>
        <v>#DIV/0!</v>
      </c>
      <c r="S70" s="573" t="e">
        <f>2*R70</f>
        <v>#DIV/0!</v>
      </c>
      <c r="T70" s="573" t="e">
        <f>Q70/S70</f>
        <v>#DIV/0!</v>
      </c>
      <c r="U70" s="573" t="e">
        <f>T70*('[1]$_WARE_BUFFER'!T56+'[1]$_WARE_BUFFER'!T57)</f>
        <v>#DIV/0!</v>
      </c>
      <c r="V70" s="606"/>
      <c r="W70" s="609"/>
      <c r="X70" s="355"/>
      <c r="Y70" s="355"/>
    </row>
    <row r="71" spans="1:26">
      <c r="U71" s="179">
        <f>U67+U69</f>
        <v>65.184444444444452</v>
      </c>
    </row>
    <row r="74" spans="1:26" ht="18">
      <c r="A74" s="585" t="s">
        <v>455</v>
      </c>
      <c r="B74" s="585"/>
      <c r="C74" s="585"/>
      <c r="D74" s="585"/>
      <c r="E74" s="585"/>
      <c r="F74" s="585"/>
      <c r="G74" s="585"/>
      <c r="H74" s="585"/>
      <c r="I74" s="585"/>
      <c r="J74" s="585"/>
      <c r="K74" s="585"/>
      <c r="L74" s="585"/>
      <c r="M74" s="585"/>
      <c r="N74" s="585"/>
      <c r="O74" s="585"/>
      <c r="P74" s="585"/>
      <c r="Q74" s="585"/>
      <c r="R74" s="585"/>
      <c r="S74" s="585"/>
      <c r="T74" s="585"/>
      <c r="U74" s="585"/>
      <c r="V74" s="585"/>
    </row>
    <row r="75" spans="1:26" ht="15.75">
      <c r="A75" s="581" t="s">
        <v>125</v>
      </c>
      <c r="B75" s="581" t="s">
        <v>32</v>
      </c>
      <c r="C75" s="584" t="s">
        <v>33</v>
      </c>
      <c r="D75" s="584"/>
      <c r="E75" s="584"/>
      <c r="F75" s="584"/>
      <c r="G75" s="584"/>
      <c r="H75" s="581" t="s">
        <v>414</v>
      </c>
      <c r="I75" s="581" t="s">
        <v>415</v>
      </c>
      <c r="J75" s="581" t="s">
        <v>416</v>
      </c>
      <c r="K75" s="171" t="s">
        <v>441</v>
      </c>
      <c r="L75" s="581" t="s">
        <v>36</v>
      </c>
      <c r="M75" s="581" t="s">
        <v>424</v>
      </c>
      <c r="N75" s="575" t="s">
        <v>442</v>
      </c>
      <c r="O75" s="575" t="s">
        <v>443</v>
      </c>
      <c r="P75" s="575" t="s">
        <v>444</v>
      </c>
      <c r="Q75" s="575" t="s">
        <v>425</v>
      </c>
      <c r="R75" s="575" t="s">
        <v>445</v>
      </c>
      <c r="S75" s="575" t="s">
        <v>429</v>
      </c>
      <c r="T75" s="575" t="s">
        <v>430</v>
      </c>
      <c r="U75" s="575" t="s">
        <v>431</v>
      </c>
      <c r="V75" s="612" t="s">
        <v>432</v>
      </c>
      <c r="W75" s="612" t="s">
        <v>433</v>
      </c>
      <c r="X75" s="574" t="s">
        <v>436</v>
      </c>
      <c r="Y75" s="574" t="s">
        <v>437</v>
      </c>
    </row>
    <row r="76" spans="1:26" ht="31.5">
      <c r="A76" s="581"/>
      <c r="B76" s="581"/>
      <c r="C76" s="584"/>
      <c r="D76" s="584"/>
      <c r="E76" s="584"/>
      <c r="F76" s="584"/>
      <c r="G76" s="584"/>
      <c r="H76" s="581"/>
      <c r="I76" s="581"/>
      <c r="J76" s="581"/>
      <c r="K76" s="172" t="s">
        <v>446</v>
      </c>
      <c r="L76" s="581"/>
      <c r="M76" s="581"/>
      <c r="N76" s="575"/>
      <c r="O76" s="575"/>
      <c r="P76" s="575"/>
      <c r="Q76" s="575"/>
      <c r="R76" s="575"/>
      <c r="S76" s="575"/>
      <c r="T76" s="575"/>
      <c r="U76" s="575"/>
      <c r="V76" s="612"/>
      <c r="W76" s="612"/>
      <c r="X76" s="574"/>
      <c r="Y76" s="574"/>
    </row>
    <row r="77" spans="1:26">
      <c r="A77" s="175" t="s">
        <v>68</v>
      </c>
      <c r="B77" s="152" t="s">
        <v>69</v>
      </c>
      <c r="C77" s="580" t="s">
        <v>70</v>
      </c>
      <c r="D77" s="580"/>
      <c r="E77" s="580"/>
      <c r="F77" s="580"/>
      <c r="G77" s="580"/>
      <c r="H77" s="176">
        <v>1600</v>
      </c>
      <c r="I77" s="176">
        <v>2100</v>
      </c>
      <c r="J77" s="176">
        <v>2150</v>
      </c>
      <c r="K77" s="176">
        <v>4</v>
      </c>
      <c r="L77" s="176">
        <v>2</v>
      </c>
      <c r="M77" s="573" t="s">
        <v>448</v>
      </c>
      <c r="N77" s="573">
        <f>ROUNDUP(70/3,0)</f>
        <v>24</v>
      </c>
      <c r="O77" s="573">
        <f>INT(P38/(J78/10^3))+1</f>
        <v>4</v>
      </c>
      <c r="P77" s="573">
        <f>INT((P39/(J78/10^3)))</f>
        <v>3</v>
      </c>
      <c r="Q77" s="573">
        <f>((2*Q17/10^3)+(6*I78/10^3))*(H78/10^3)</f>
        <v>32.96</v>
      </c>
      <c r="R77" s="573">
        <f>MIN(O77,P77)</f>
        <v>3</v>
      </c>
      <c r="S77" s="573">
        <f>N77*R77</f>
        <v>72</v>
      </c>
      <c r="T77" s="573">
        <f>Q77/S77</f>
        <v>0.45777777777777778</v>
      </c>
      <c r="U77" s="573">
        <f>((('$_WARE_BUFFER'!S21+'$_WARE_BUFFER'!S22)/3)*T77+(Q17*2*H78/10^6))*3</f>
        <v>134.07555555555555</v>
      </c>
      <c r="V77" s="615">
        <f>SQRT(U77/2)</f>
        <v>8.187660091734255</v>
      </c>
      <c r="W77" s="577">
        <f>2*V77</f>
        <v>16.37532018346851</v>
      </c>
      <c r="X77" s="355">
        <f t="shared" ref="X77" si="3">ROUNDUP(V77*1000,-1)</f>
        <v>8190</v>
      </c>
      <c r="Y77" s="355">
        <f t="shared" ref="Y77" si="4">ROUNDUP(W77*1000,-1)</f>
        <v>16380</v>
      </c>
    </row>
    <row r="78" spans="1:26">
      <c r="A78" s="145" t="s">
        <v>74</v>
      </c>
      <c r="B78" s="146" t="s">
        <v>69</v>
      </c>
      <c r="C78" s="580" t="s">
        <v>75</v>
      </c>
      <c r="D78" s="580"/>
      <c r="E78" s="580"/>
      <c r="F78" s="580"/>
      <c r="G78" s="580"/>
      <c r="H78" s="177">
        <v>1600</v>
      </c>
      <c r="I78" s="177">
        <v>2100</v>
      </c>
      <c r="J78" s="177">
        <v>2150</v>
      </c>
      <c r="K78" s="177">
        <v>4</v>
      </c>
      <c r="L78" s="177">
        <v>2</v>
      </c>
      <c r="M78" s="573"/>
      <c r="N78" s="573"/>
      <c r="O78" s="573"/>
      <c r="P78" s="573"/>
      <c r="Q78" s="573"/>
      <c r="R78" s="573"/>
      <c r="S78" s="573"/>
      <c r="T78" s="573"/>
      <c r="U78" s="573"/>
      <c r="V78" s="615"/>
      <c r="W78" s="577"/>
      <c r="X78" s="355"/>
      <c r="Y78" s="355"/>
    </row>
    <row r="79" spans="1:26">
      <c r="Y79" s="8"/>
      <c r="Z79" s="8"/>
    </row>
    <row r="83" spans="1:25" ht="18">
      <c r="A83" s="585" t="s">
        <v>456</v>
      </c>
      <c r="B83" s="585"/>
      <c r="C83" s="585"/>
      <c r="D83" s="585"/>
      <c r="E83" s="585"/>
      <c r="F83" s="585"/>
      <c r="G83" s="585"/>
      <c r="H83" s="585"/>
      <c r="I83" s="585"/>
      <c r="J83" s="585"/>
      <c r="K83" s="585"/>
      <c r="L83" s="585"/>
      <c r="M83" s="585"/>
      <c r="N83" s="585"/>
      <c r="O83" s="585"/>
      <c r="P83" s="585"/>
      <c r="Q83" s="585"/>
      <c r="R83" s="585"/>
      <c r="S83" s="585"/>
      <c r="T83" s="585"/>
      <c r="U83" s="585"/>
      <c r="V83" s="585"/>
    </row>
    <row r="84" spans="1:25" ht="15.75">
      <c r="A84" s="581" t="s">
        <v>125</v>
      </c>
      <c r="B84" s="581" t="s">
        <v>32</v>
      </c>
      <c r="C84" s="584" t="s">
        <v>33</v>
      </c>
      <c r="D84" s="584"/>
      <c r="E84" s="584"/>
      <c r="F84" s="584"/>
      <c r="G84" s="584"/>
      <c r="H84" s="581" t="s">
        <v>414</v>
      </c>
      <c r="I84" s="581" t="s">
        <v>415</v>
      </c>
      <c r="J84" s="581" t="s">
        <v>416</v>
      </c>
      <c r="K84" s="171" t="s">
        <v>441</v>
      </c>
      <c r="L84" s="581" t="s">
        <v>36</v>
      </c>
      <c r="M84" s="581" t="s">
        <v>424</v>
      </c>
      <c r="N84" s="575" t="s">
        <v>457</v>
      </c>
      <c r="O84" s="575" t="s">
        <v>443</v>
      </c>
      <c r="P84" s="575" t="s">
        <v>444</v>
      </c>
      <c r="Q84" s="575" t="s">
        <v>425</v>
      </c>
      <c r="R84" s="575" t="s">
        <v>445</v>
      </c>
      <c r="S84" s="575" t="s">
        <v>429</v>
      </c>
      <c r="T84" s="575" t="s">
        <v>430</v>
      </c>
      <c r="U84" s="575" t="s">
        <v>431</v>
      </c>
      <c r="V84" s="612" t="s">
        <v>432</v>
      </c>
      <c r="W84" s="612" t="s">
        <v>433</v>
      </c>
      <c r="X84" s="574" t="s">
        <v>436</v>
      </c>
      <c r="Y84" s="574" t="s">
        <v>437</v>
      </c>
    </row>
    <row r="85" spans="1:25" ht="31.5">
      <c r="A85" s="581"/>
      <c r="B85" s="581"/>
      <c r="C85" s="584"/>
      <c r="D85" s="584"/>
      <c r="E85" s="584"/>
      <c r="F85" s="584"/>
      <c r="G85" s="584"/>
      <c r="H85" s="581"/>
      <c r="I85" s="581"/>
      <c r="J85" s="581"/>
      <c r="K85" s="172" t="s">
        <v>446</v>
      </c>
      <c r="L85" s="581"/>
      <c r="M85" s="581"/>
      <c r="N85" s="575"/>
      <c r="O85" s="575"/>
      <c r="P85" s="575"/>
      <c r="Q85" s="575"/>
      <c r="R85" s="575"/>
      <c r="S85" s="575"/>
      <c r="T85" s="575"/>
      <c r="U85" s="575"/>
      <c r="V85" s="612"/>
      <c r="W85" s="612"/>
      <c r="X85" s="574"/>
      <c r="Y85" s="574"/>
    </row>
    <row r="86" spans="1:25">
      <c r="A86" s="175" t="str">
        <f>'$_BOM_CYCLE'!F5</f>
        <v>INTASS001-10</v>
      </c>
      <c r="B86" s="152" t="s">
        <v>59</v>
      </c>
      <c r="C86" s="580" t="str">
        <f>'$_DATA'!C45</f>
        <v>COMPLETE FLAIL MOWER L=1500</v>
      </c>
      <c r="D86" s="580"/>
      <c r="E86" s="580"/>
      <c r="F86" s="580"/>
      <c r="G86" s="580"/>
      <c r="H86" s="176">
        <v>1600</v>
      </c>
      <c r="I86" s="176">
        <v>2100</v>
      </c>
      <c r="J86" s="176">
        <v>1150</v>
      </c>
      <c r="K86" s="176">
        <v>1</v>
      </c>
      <c r="L86" s="176">
        <v>2</v>
      </c>
      <c r="M86" s="573" t="s">
        <v>458</v>
      </c>
      <c r="N86" s="573">
        <v>24</v>
      </c>
      <c r="O86" s="573">
        <f>INT(P38/(J87/10^3))+1</f>
        <v>6</v>
      </c>
      <c r="P86" s="573">
        <f>INT((P39/(J87/10^3)))</f>
        <v>6</v>
      </c>
      <c r="Q86" s="573">
        <f>(I86/10^3)*((2*Q17/10^3)+(H86*N86/10^3))</f>
        <v>97.44</v>
      </c>
      <c r="R86" s="573">
        <f>MIN(O86,P86)</f>
        <v>6</v>
      </c>
      <c r="S86" s="573">
        <f>N86*R86</f>
        <v>144</v>
      </c>
      <c r="T86" s="573">
        <f>Q86/((N86*R86))</f>
        <v>0.67666666666666664</v>
      </c>
      <c r="U86" s="573">
        <f>('$_WARE_BUFFER'!S18+'$_WARE_BUFFER'!S19)/T86</f>
        <v>1267.9802955665025</v>
      </c>
      <c r="V86" s="615">
        <f>SQRT(U86/3)</f>
        <v>20.558698852849798</v>
      </c>
      <c r="W86" s="577">
        <f>V86*3</f>
        <v>61.676096558549389</v>
      </c>
      <c r="X86" s="355">
        <f t="shared" ref="X86" si="5">ROUNDUP(V86*1000,-1)</f>
        <v>20560</v>
      </c>
      <c r="Y86" s="355">
        <f t="shared" ref="Y86" si="6">ROUNDUP(W86*1000,-1)</f>
        <v>61680</v>
      </c>
    </row>
    <row r="87" spans="1:25">
      <c r="A87" s="145" t="str">
        <f>'$_BOM_CYCLE'!F26</f>
        <v>INTASS002-10</v>
      </c>
      <c r="B87" s="152" t="s">
        <v>59</v>
      </c>
      <c r="C87" s="580" t="str">
        <f>'$_DATA'!C46</f>
        <v>COMPLETE FLAIL MOWER L=1750</v>
      </c>
      <c r="D87" s="580"/>
      <c r="E87" s="580"/>
      <c r="F87" s="580"/>
      <c r="G87" s="580"/>
      <c r="H87" s="177">
        <v>1600</v>
      </c>
      <c r="I87" s="177">
        <v>2100</v>
      </c>
      <c r="J87" s="177">
        <v>1150</v>
      </c>
      <c r="K87" s="177">
        <v>1</v>
      </c>
      <c r="L87" s="177">
        <v>2</v>
      </c>
      <c r="M87" s="573"/>
      <c r="N87" s="573"/>
      <c r="O87" s="573"/>
      <c r="P87" s="573"/>
      <c r="Q87" s="573"/>
      <c r="R87" s="573"/>
      <c r="S87" s="573"/>
      <c r="T87" s="573"/>
      <c r="U87" s="573"/>
      <c r="V87" s="615"/>
      <c r="W87" s="577"/>
      <c r="X87" s="355"/>
      <c r="Y87" s="355"/>
    </row>
  </sheetData>
  <mergeCells count="235">
    <mergeCell ref="U67:U68"/>
    <mergeCell ref="T65:T66"/>
    <mergeCell ref="S59:S60"/>
    <mergeCell ref="O59:O60"/>
    <mergeCell ref="P59:P60"/>
    <mergeCell ref="U59:U60"/>
    <mergeCell ref="U65:U66"/>
    <mergeCell ref="T69:T70"/>
    <mergeCell ref="X84:X85"/>
    <mergeCell ref="V77:V78"/>
    <mergeCell ref="W77:W78"/>
    <mergeCell ref="P67:P68"/>
    <mergeCell ref="Y84:Y85"/>
    <mergeCell ref="T75:T76"/>
    <mergeCell ref="T30:T32"/>
    <mergeCell ref="V84:V85"/>
    <mergeCell ref="W84:W85"/>
    <mergeCell ref="V75:V76"/>
    <mergeCell ref="R65:R66"/>
    <mergeCell ref="S65:S66"/>
    <mergeCell ref="A64:V64"/>
    <mergeCell ref="A65:A66"/>
    <mergeCell ref="B65:B66"/>
    <mergeCell ref="C65:G66"/>
    <mergeCell ref="H65:H66"/>
    <mergeCell ref="I65:I66"/>
    <mergeCell ref="J65:J66"/>
    <mergeCell ref="N65:N66"/>
    <mergeCell ref="O65:O66"/>
    <mergeCell ref="P65:P66"/>
    <mergeCell ref="X22:X32"/>
    <mergeCell ref="T28:T29"/>
    <mergeCell ref="U69:U70"/>
    <mergeCell ref="L65:L66"/>
    <mergeCell ref="T59:T60"/>
    <mergeCell ref="Q30:Q32"/>
    <mergeCell ref="R30:R32"/>
    <mergeCell ref="S30:S32"/>
    <mergeCell ref="Q26:Q27"/>
    <mergeCell ref="R26:R27"/>
    <mergeCell ref="S26:S27"/>
    <mergeCell ref="O28:O29"/>
    <mergeCell ref="P28:P29"/>
    <mergeCell ref="Q28:Q29"/>
    <mergeCell ref="R28:R29"/>
    <mergeCell ref="S28:S29"/>
    <mergeCell ref="O26:O27"/>
    <mergeCell ref="P26:P27"/>
    <mergeCell ref="P30:P32"/>
    <mergeCell ref="T26:T27"/>
    <mergeCell ref="N86:N87"/>
    <mergeCell ref="O86:O87"/>
    <mergeCell ref="Q67:Q68"/>
    <mergeCell ref="R67:R68"/>
    <mergeCell ref="S67:S68"/>
    <mergeCell ref="B84:B85"/>
    <mergeCell ref="C69:G69"/>
    <mergeCell ref="M69:M70"/>
    <mergeCell ref="N69:N70"/>
    <mergeCell ref="O69:O70"/>
    <mergeCell ref="P86:P87"/>
    <mergeCell ref="P69:P70"/>
    <mergeCell ref="Q86:Q87"/>
    <mergeCell ref="Q69:Q70"/>
    <mergeCell ref="C87:G87"/>
    <mergeCell ref="L84:L85"/>
    <mergeCell ref="M84:M85"/>
    <mergeCell ref="N84:N85"/>
    <mergeCell ref="R86:R87"/>
    <mergeCell ref="R69:R70"/>
    <mergeCell ref="C75:G76"/>
    <mergeCell ref="A74:V74"/>
    <mergeCell ref="S69:S70"/>
    <mergeCell ref="V86:V87"/>
    <mergeCell ref="C84:G85"/>
    <mergeCell ref="H84:H85"/>
    <mergeCell ref="I84:I85"/>
    <mergeCell ref="J84:J85"/>
    <mergeCell ref="U75:U76"/>
    <mergeCell ref="T77:T78"/>
    <mergeCell ref="U77:U78"/>
    <mergeCell ref="Q84:Q85"/>
    <mergeCell ref="R84:R85"/>
    <mergeCell ref="S84:S85"/>
    <mergeCell ref="T84:T85"/>
    <mergeCell ref="U84:U85"/>
    <mergeCell ref="S77:S78"/>
    <mergeCell ref="O84:O85"/>
    <mergeCell ref="P84:P85"/>
    <mergeCell ref="A83:V83"/>
    <mergeCell ref="A84:A85"/>
    <mergeCell ref="B75:B76"/>
    <mergeCell ref="H75:H76"/>
    <mergeCell ref="I75:I76"/>
    <mergeCell ref="P75:P76"/>
    <mergeCell ref="A75:A76"/>
    <mergeCell ref="C86:G86"/>
    <mergeCell ref="N28:N29"/>
    <mergeCell ref="O22:O25"/>
    <mergeCell ref="N38:O38"/>
    <mergeCell ref="M86:M87"/>
    <mergeCell ref="Q75:Q76"/>
    <mergeCell ref="R75:R76"/>
    <mergeCell ref="C58:G58"/>
    <mergeCell ref="C57:G57"/>
    <mergeCell ref="W55:W56"/>
    <mergeCell ref="V57:V60"/>
    <mergeCell ref="W57:W60"/>
    <mergeCell ref="V65:V66"/>
    <mergeCell ref="W65:W66"/>
    <mergeCell ref="V67:V70"/>
    <mergeCell ref="W67:W70"/>
    <mergeCell ref="W75:W76"/>
    <mergeCell ref="M55:M56"/>
    <mergeCell ref="N55:N56"/>
    <mergeCell ref="O55:O56"/>
    <mergeCell ref="P55:P56"/>
    <mergeCell ref="Q55:Q56"/>
    <mergeCell ref="R55:R56"/>
    <mergeCell ref="U57:U58"/>
    <mergeCell ref="M57:M58"/>
    <mergeCell ref="N39:O39"/>
    <mergeCell ref="N30:N32"/>
    <mergeCell ref="O30:O32"/>
    <mergeCell ref="N22:N25"/>
    <mergeCell ref="N26:N27"/>
    <mergeCell ref="C7:G7"/>
    <mergeCell ref="A1:L1"/>
    <mergeCell ref="C10:G10"/>
    <mergeCell ref="C11:G11"/>
    <mergeCell ref="C12:G12"/>
    <mergeCell ref="C13:G13"/>
    <mergeCell ref="C2:G2"/>
    <mergeCell ref="C3:G3"/>
    <mergeCell ref="C4:G4"/>
    <mergeCell ref="C5:G5"/>
    <mergeCell ref="C6:G6"/>
    <mergeCell ref="C8:G8"/>
    <mergeCell ref="C9:G9"/>
    <mergeCell ref="A20:O20"/>
    <mergeCell ref="C31:G31"/>
    <mergeCell ref="C23:G23"/>
    <mergeCell ref="C24:G24"/>
    <mergeCell ref="C26:G26"/>
    <mergeCell ref="C27:G27"/>
    <mergeCell ref="U17:V20"/>
    <mergeCell ref="Y17:Z20"/>
    <mergeCell ref="W17:X20"/>
    <mergeCell ref="C21:G21"/>
    <mergeCell ref="C32:G32"/>
    <mergeCell ref="C30:G30"/>
    <mergeCell ref="C29:G29"/>
    <mergeCell ref="C22:G22"/>
    <mergeCell ref="C25:G25"/>
    <mergeCell ref="M22:M25"/>
    <mergeCell ref="M26:M27"/>
    <mergeCell ref="M28:M29"/>
    <mergeCell ref="M30:M32"/>
    <mergeCell ref="T22:T25"/>
    <mergeCell ref="R22:R25"/>
    <mergeCell ref="S22:S25"/>
    <mergeCell ref="Q22:Q25"/>
    <mergeCell ref="P22:P25"/>
    <mergeCell ref="Z22:Z32"/>
    <mergeCell ref="Y22:Y32"/>
    <mergeCell ref="V22:V32"/>
    <mergeCell ref="U22:U32"/>
    <mergeCell ref="W22:W32"/>
    <mergeCell ref="C28:G28"/>
    <mergeCell ref="A55:A56"/>
    <mergeCell ref="B55:B56"/>
    <mergeCell ref="C55:G56"/>
    <mergeCell ref="L55:L56"/>
    <mergeCell ref="H55:H56"/>
    <mergeCell ref="I55:I56"/>
    <mergeCell ref="J55:J56"/>
    <mergeCell ref="A54:V54"/>
    <mergeCell ref="Q57:Q58"/>
    <mergeCell ref="R57:R58"/>
    <mergeCell ref="S57:S58"/>
    <mergeCell ref="T57:T58"/>
    <mergeCell ref="N57:N58"/>
    <mergeCell ref="C67:G67"/>
    <mergeCell ref="M67:M68"/>
    <mergeCell ref="C68:G68"/>
    <mergeCell ref="O57:O58"/>
    <mergeCell ref="P57:P58"/>
    <mergeCell ref="M59:M60"/>
    <mergeCell ref="N59:N60"/>
    <mergeCell ref="Q59:Q60"/>
    <mergeCell ref="R59:R60"/>
    <mergeCell ref="C60:G60"/>
    <mergeCell ref="C59:G59"/>
    <mergeCell ref="Q65:Q66"/>
    <mergeCell ref="M65:M66"/>
    <mergeCell ref="N67:N68"/>
    <mergeCell ref="O67:O68"/>
    <mergeCell ref="C70:G70"/>
    <mergeCell ref="C77:G77"/>
    <mergeCell ref="M77:M78"/>
    <mergeCell ref="N77:N78"/>
    <mergeCell ref="O77:O78"/>
    <mergeCell ref="P77:P78"/>
    <mergeCell ref="Q77:Q78"/>
    <mergeCell ref="R77:R78"/>
    <mergeCell ref="C78:G78"/>
    <mergeCell ref="J75:J76"/>
    <mergeCell ref="L75:L76"/>
    <mergeCell ref="M75:M76"/>
    <mergeCell ref="N75:N76"/>
    <mergeCell ref="O75:O76"/>
    <mergeCell ref="S86:S87"/>
    <mergeCell ref="X55:X56"/>
    <mergeCell ref="Y55:Y56"/>
    <mergeCell ref="X57:X60"/>
    <mergeCell ref="Y57:Y60"/>
    <mergeCell ref="X65:X66"/>
    <mergeCell ref="Y65:Y66"/>
    <mergeCell ref="X67:X70"/>
    <mergeCell ref="Y67:Y70"/>
    <mergeCell ref="X75:X76"/>
    <mergeCell ref="Y75:Y76"/>
    <mergeCell ref="X77:X78"/>
    <mergeCell ref="Y77:Y78"/>
    <mergeCell ref="X86:X87"/>
    <mergeCell ref="Y86:Y87"/>
    <mergeCell ref="S55:S56"/>
    <mergeCell ref="T67:T68"/>
    <mergeCell ref="S75:S76"/>
    <mergeCell ref="W86:W87"/>
    <mergeCell ref="V55:V56"/>
    <mergeCell ref="T86:T87"/>
    <mergeCell ref="U86:U87"/>
    <mergeCell ref="T55:T56"/>
    <mergeCell ref="U55:U56"/>
  </mergeCells>
  <phoneticPr fontId="25" type="noConversion"/>
  <pageMargins left="0.7" right="0.7" top="0.75" bottom="0.75" header="0.3" footer="0.3"/>
  <pageSetup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3415A-20A5-40CE-ACE5-457E12AB1FC6}">
  <dimension ref="A1:W53"/>
  <sheetViews>
    <sheetView topLeftCell="A36" zoomScale="77" zoomScaleNormal="85" workbookViewId="0">
      <selection activeCell="L39" sqref="L39"/>
    </sheetView>
  </sheetViews>
  <sheetFormatPr defaultColWidth="8.796875" defaultRowHeight="14.25"/>
  <cols>
    <col min="1" max="1" width="28.796875" customWidth="1"/>
    <col min="2" max="2" width="14.46484375" customWidth="1"/>
    <col min="3" max="3" width="14" customWidth="1"/>
    <col min="4" max="4" width="14.6640625" bestFit="1" customWidth="1"/>
    <col min="5" max="5" width="15.46484375" customWidth="1"/>
    <col min="6" max="6" width="10.33203125" customWidth="1"/>
    <col min="7" max="7" width="15.33203125" customWidth="1"/>
    <col min="8" max="8" width="11.1328125" bestFit="1" customWidth="1"/>
    <col min="9" max="9" width="16.46484375" customWidth="1"/>
    <col min="10" max="10" width="12.33203125" bestFit="1" customWidth="1"/>
    <col min="13" max="13" width="15.6640625" customWidth="1"/>
    <col min="14" max="14" width="18" bestFit="1" customWidth="1"/>
    <col min="17" max="17" width="18" bestFit="1" customWidth="1"/>
  </cols>
  <sheetData>
    <row r="1" spans="1:18">
      <c r="A1" s="188" t="s">
        <v>459</v>
      </c>
      <c r="B1" s="189" t="s">
        <v>460</v>
      </c>
      <c r="C1" s="189" t="s">
        <v>225</v>
      </c>
      <c r="D1" s="189" t="s">
        <v>461</v>
      </c>
      <c r="E1" s="189" t="s">
        <v>225</v>
      </c>
      <c r="F1" s="189" t="s">
        <v>462</v>
      </c>
      <c r="G1" s="189" t="s">
        <v>225</v>
      </c>
      <c r="H1" s="189" t="s">
        <v>463</v>
      </c>
      <c r="I1" s="189" t="s">
        <v>225</v>
      </c>
      <c r="J1" s="189" t="s">
        <v>393</v>
      </c>
    </row>
    <row r="2" spans="1:18">
      <c r="A2" s="145" t="s">
        <v>464</v>
      </c>
      <c r="B2" s="146">
        <v>0.3</v>
      </c>
      <c r="C2" s="146"/>
      <c r="D2" s="146">
        <v>2</v>
      </c>
      <c r="E2" s="146"/>
      <c r="F2" s="146">
        <f>B2*D2+0.15</f>
        <v>0.75</v>
      </c>
      <c r="G2" s="146"/>
      <c r="H2" s="146">
        <f>INT($R$8/F2)+1</f>
        <v>9</v>
      </c>
      <c r="I2" s="146"/>
      <c r="J2" s="218">
        <f>((H2-1)/D2)*F2</f>
        <v>3</v>
      </c>
      <c r="L2" s="247"/>
    </row>
    <row r="3" spans="1:18">
      <c r="A3" s="145"/>
      <c r="B3" s="146">
        <v>0.8</v>
      </c>
      <c r="C3" s="146"/>
      <c r="D3" s="146">
        <v>4</v>
      </c>
      <c r="E3" s="146"/>
      <c r="F3" s="146">
        <f t="shared" ref="F3:F13" si="0">B3*D3+0.15</f>
        <v>3.35</v>
      </c>
      <c r="G3" s="146"/>
      <c r="H3" s="146">
        <f>INT($R$8/F3)+1</f>
        <v>3</v>
      </c>
      <c r="I3" s="146"/>
      <c r="J3" s="218">
        <f t="shared" ref="J3:J9" si="1">(H3-1)/D3*F3</f>
        <v>1.675</v>
      </c>
    </row>
    <row r="4" spans="1:18">
      <c r="A4" s="145"/>
      <c r="B4" s="146">
        <v>1</v>
      </c>
      <c r="C4" s="146"/>
      <c r="D4" s="146">
        <v>4</v>
      </c>
      <c r="E4" s="146"/>
      <c r="F4" s="146">
        <f t="shared" si="0"/>
        <v>4.1500000000000004</v>
      </c>
      <c r="G4" s="146"/>
      <c r="H4" s="146">
        <f>INT($R$8/F4)+1</f>
        <v>2</v>
      </c>
      <c r="I4" s="146"/>
      <c r="J4" s="218">
        <f t="shared" si="1"/>
        <v>1.0375000000000001</v>
      </c>
    </row>
    <row r="5" spans="1:18">
      <c r="A5" s="145"/>
      <c r="B5" s="146">
        <v>0.55000000000000004</v>
      </c>
      <c r="C5" s="146"/>
      <c r="D5" s="146">
        <v>4</v>
      </c>
      <c r="E5" s="146"/>
      <c r="F5" s="146">
        <f t="shared" si="0"/>
        <v>2.35</v>
      </c>
      <c r="G5" s="195"/>
      <c r="H5" s="195">
        <f>'AREA CALCULATION'!O22</f>
        <v>8</v>
      </c>
      <c r="I5" s="146"/>
      <c r="J5" s="218">
        <f t="shared" si="1"/>
        <v>4.1124999999999998</v>
      </c>
      <c r="N5" s="204"/>
      <c r="O5" s="196"/>
    </row>
    <row r="6" spans="1:18">
      <c r="A6" s="194"/>
      <c r="B6" s="195"/>
      <c r="C6" s="195"/>
      <c r="D6" s="195"/>
      <c r="E6" s="195"/>
      <c r="F6" s="146"/>
      <c r="G6" s="214"/>
      <c r="H6" s="212"/>
      <c r="I6" s="195"/>
      <c r="J6" s="218"/>
      <c r="M6" s="204"/>
      <c r="N6" s="196"/>
      <c r="O6" s="196"/>
    </row>
    <row r="7" spans="1:18">
      <c r="A7" s="198"/>
      <c r="B7" s="199"/>
      <c r="C7" s="199"/>
      <c r="D7" s="199"/>
      <c r="E7" s="201"/>
      <c r="F7" s="146"/>
      <c r="G7" s="215"/>
      <c r="H7" s="216"/>
      <c r="I7" s="199"/>
      <c r="J7" s="218"/>
      <c r="M7" s="196"/>
      <c r="N7" s="196"/>
      <c r="O7" s="196"/>
      <c r="Q7" s="192" t="s">
        <v>465</v>
      </c>
      <c r="R7" s="193" t="s">
        <v>225</v>
      </c>
    </row>
    <row r="8" spans="1:18">
      <c r="A8" s="196"/>
      <c r="B8" s="197"/>
      <c r="C8" s="197"/>
      <c r="D8" s="197"/>
      <c r="E8" s="197"/>
      <c r="F8" s="146"/>
      <c r="G8" s="197"/>
      <c r="H8" s="208"/>
      <c r="I8" s="197"/>
      <c r="J8" s="218"/>
      <c r="M8" s="196"/>
      <c r="N8" s="196"/>
      <c r="O8" s="196"/>
      <c r="Q8" s="190" t="s">
        <v>466</v>
      </c>
      <c r="R8" s="191">
        <v>6.7</v>
      </c>
    </row>
    <row r="9" spans="1:18">
      <c r="A9" s="205" t="s">
        <v>467</v>
      </c>
      <c r="B9" s="199">
        <v>1</v>
      </c>
      <c r="C9" s="199"/>
      <c r="D9" s="199">
        <v>2</v>
      </c>
      <c r="E9" s="199"/>
      <c r="F9" s="146">
        <f t="shared" si="0"/>
        <v>2.15</v>
      </c>
      <c r="G9" s="206"/>
      <c r="H9" s="206">
        <f>INT($R$8/F9)+1</f>
        <v>4</v>
      </c>
      <c r="I9" s="199"/>
      <c r="J9" s="218">
        <f t="shared" si="1"/>
        <v>3.2249999999999996</v>
      </c>
      <c r="M9" s="196"/>
      <c r="N9" s="196"/>
      <c r="O9" s="196"/>
      <c r="Q9" s="190" t="s">
        <v>468</v>
      </c>
      <c r="R9" s="191">
        <v>45</v>
      </c>
    </row>
    <row r="10" spans="1:18">
      <c r="A10" s="203"/>
      <c r="B10" s="203"/>
      <c r="C10" s="203"/>
      <c r="D10" s="203"/>
      <c r="E10" s="203"/>
      <c r="F10" s="146"/>
      <c r="G10" s="202"/>
      <c r="H10" s="210"/>
      <c r="I10" s="203"/>
      <c r="J10" s="218"/>
      <c r="M10" s="196"/>
      <c r="N10" s="196"/>
      <c r="O10" s="196"/>
      <c r="Q10" s="190" t="s">
        <v>469</v>
      </c>
      <c r="R10" s="191">
        <f>'$_MANUF_PARTS_BATCH'!G3*'$_MANUF_PARTS_BATCH'!G2*3600</f>
        <v>1188000</v>
      </c>
    </row>
    <row r="11" spans="1:18">
      <c r="A11" s="190" t="s">
        <v>470</v>
      </c>
      <c r="B11" s="191">
        <f>'AREA CALCULATION'!J57*0.001-0.15</f>
        <v>0.8</v>
      </c>
      <c r="C11" s="191"/>
      <c r="D11" s="191">
        <v>1</v>
      </c>
      <c r="E11" s="208"/>
      <c r="F11" s="146">
        <f t="shared" si="0"/>
        <v>0.95000000000000007</v>
      </c>
      <c r="G11" s="217"/>
      <c r="H11" s="217">
        <f>INT($R$8/F11)+1</f>
        <v>8</v>
      </c>
      <c r="I11" s="217"/>
      <c r="J11" s="218">
        <f>(H11-1)/D11*F11</f>
        <v>6.65</v>
      </c>
      <c r="N11" s="196"/>
      <c r="O11" s="196"/>
      <c r="P11" s="196"/>
      <c r="Q11" s="190" t="s">
        <v>471</v>
      </c>
      <c r="R11" s="191">
        <v>1.4</v>
      </c>
    </row>
    <row r="12" spans="1:18">
      <c r="A12" s="207"/>
      <c r="B12" s="208">
        <f>'AREA CALCULATION'!J59*0.001-0.15</f>
        <v>0.8</v>
      </c>
      <c r="C12" s="208"/>
      <c r="D12" s="196">
        <f>'AREA CALCULATION'!L59</f>
        <v>4</v>
      </c>
      <c r="E12" s="212"/>
      <c r="F12" s="146">
        <f t="shared" si="0"/>
        <v>3.35</v>
      </c>
      <c r="G12" s="212"/>
      <c r="H12" s="212">
        <f>INT($R$8/F12)+1</f>
        <v>3</v>
      </c>
      <c r="I12" s="212"/>
      <c r="J12" s="218">
        <f>(H12-1)/D12*F12</f>
        <v>1.675</v>
      </c>
      <c r="N12" s="196"/>
      <c r="O12" s="196"/>
      <c r="Q12" s="190" t="s">
        <v>472</v>
      </c>
      <c r="R12" s="191">
        <v>0.2</v>
      </c>
    </row>
    <row r="13" spans="1:18">
      <c r="A13" s="209"/>
      <c r="B13" s="206">
        <f>'AREA CALCULATION'!J77*0.001-0.15</f>
        <v>2</v>
      </c>
      <c r="C13" s="200"/>
      <c r="D13" s="200">
        <v>2</v>
      </c>
      <c r="E13" s="213"/>
      <c r="F13" s="146">
        <f t="shared" si="0"/>
        <v>4.1500000000000004</v>
      </c>
      <c r="G13" s="216"/>
      <c r="H13" s="216">
        <f>INT($R$8/F13)+1</f>
        <v>2</v>
      </c>
      <c r="I13" s="216"/>
      <c r="J13" s="218">
        <f>(H13-1)/D13*F13</f>
        <v>2.0750000000000002</v>
      </c>
      <c r="Q13" s="211" t="s">
        <v>473</v>
      </c>
      <c r="R13" s="211">
        <v>0.56000000000000005</v>
      </c>
    </row>
    <row r="14" spans="1:18">
      <c r="A14" s="196"/>
      <c r="B14" s="196"/>
      <c r="C14" s="196"/>
      <c r="D14" s="196"/>
      <c r="E14" s="196"/>
      <c r="F14" s="196"/>
      <c r="G14" s="196"/>
      <c r="H14" s="196"/>
      <c r="I14" s="204" t="s">
        <v>474</v>
      </c>
      <c r="J14">
        <f>(((H2*J2)+(H3*J3)+(H4*J4)+(H5*J5))/(SUM(H2:H5)))</f>
        <v>3.0454545454545454</v>
      </c>
      <c r="Q14" s="225" t="s">
        <v>475</v>
      </c>
      <c r="R14" s="225">
        <f>10.5*5/18</f>
        <v>2.9166666666666665</v>
      </c>
    </row>
    <row r="17" spans="1:23">
      <c r="A17" s="221" t="s">
        <v>476</v>
      </c>
      <c r="B17" s="193" t="s">
        <v>225</v>
      </c>
      <c r="C17" s="219" t="s">
        <v>477</v>
      </c>
      <c r="D17" s="219" t="s">
        <v>225</v>
      </c>
      <c r="E17" s="219" t="s">
        <v>390</v>
      </c>
      <c r="F17" s="219" t="s">
        <v>225</v>
      </c>
      <c r="G17" s="219" t="s">
        <v>478</v>
      </c>
      <c r="Q17" s="196" t="s">
        <v>479</v>
      </c>
      <c r="R17" s="196">
        <f>(R12+R13)/2</f>
        <v>0.38</v>
      </c>
      <c r="S17" s="196"/>
      <c r="T17" s="196"/>
      <c r="U17" s="196"/>
      <c r="V17" s="196"/>
      <c r="W17" s="196"/>
    </row>
    <row r="18" spans="1:23">
      <c r="A18" s="222" t="s">
        <v>480</v>
      </c>
      <c r="B18" s="191"/>
      <c r="C18" s="220">
        <f>'$_MOV_MATERIALS'!C10</f>
        <v>2049</v>
      </c>
      <c r="D18" s="191"/>
      <c r="E18" s="191">
        <f>(4620+21500+4500+21500+4500+21500/2+15000*6+14000+15000/2)*0.001</f>
        <v>178.87</v>
      </c>
      <c r="F18" s="191"/>
      <c r="G18" s="191">
        <f>(2*(E18/$R$14 + $J$14/$R$17 +$R$9)*C18*$R$11)/$R$10</f>
        <v>0.55218720282248313</v>
      </c>
      <c r="Q18" s="196" t="s">
        <v>481</v>
      </c>
      <c r="R18" s="196"/>
      <c r="S18" s="196"/>
      <c r="T18" s="196"/>
      <c r="U18" s="196"/>
      <c r="V18" s="196"/>
      <c r="W18" s="196"/>
    </row>
    <row r="19" spans="1:23">
      <c r="A19" s="222"/>
      <c r="B19" s="191"/>
      <c r="C19" s="191"/>
      <c r="D19" s="191"/>
      <c r="E19" s="191"/>
      <c r="F19" s="191"/>
      <c r="G19" s="191"/>
      <c r="Q19" s="196"/>
      <c r="R19" s="196"/>
      <c r="S19" s="196"/>
      <c r="T19" s="196"/>
      <c r="U19" s="196"/>
      <c r="V19" s="196"/>
      <c r="W19" s="196"/>
    </row>
    <row r="20" spans="1:23">
      <c r="A20" s="222" t="s">
        <v>482</v>
      </c>
      <c r="B20" s="191"/>
      <c r="C20" s="220">
        <f>'$_MOV_MATERIALS'!C14</f>
        <v>1345</v>
      </c>
      <c r="D20" s="191"/>
      <c r="E20" s="191">
        <f>(4900/2+14280+5420+7600+550+5700+6400+5100+4300+11500+4300+5500/2+7690+570+1500)*0.001</f>
        <v>80.11</v>
      </c>
      <c r="F20" s="191"/>
      <c r="G20" s="191">
        <f>(2*(E20/$R$14 + $J$14/$R$17 +$R$9)*C20*$R$11)/$R$10</f>
        <v>0.2551263378924814</v>
      </c>
      <c r="Q20" s="278" t="s">
        <v>483</v>
      </c>
      <c r="R20" s="278"/>
      <c r="S20" s="278"/>
      <c r="T20" s="278"/>
      <c r="U20" s="278"/>
      <c r="V20" s="278"/>
      <c r="W20" s="278"/>
    </row>
    <row r="21" spans="1:23">
      <c r="A21" s="222"/>
      <c r="B21" s="191"/>
      <c r="C21" s="191"/>
      <c r="D21" s="191"/>
      <c r="E21" s="191"/>
      <c r="F21" s="191"/>
      <c r="G21" s="191"/>
    </row>
    <row r="22" spans="1:23">
      <c r="A22" s="279" t="s">
        <v>484</v>
      </c>
      <c r="B22" s="191"/>
      <c r="C22" s="220">
        <f>'$_MOV_MATERIALS'!C22</f>
        <v>507</v>
      </c>
      <c r="D22" s="191"/>
      <c r="E22" s="191">
        <f>(14280/2+5420/2+3.3*6600+4500/2+7600/2)*10^-3</f>
        <v>37.68</v>
      </c>
      <c r="F22" s="191"/>
      <c r="G22" s="191">
        <f>(2*(E22/$R$14 + $J$14/$R$17 +$R$9)*C22*$R$11)/$R$10</f>
        <v>7.8786857435600016E-2</v>
      </c>
    </row>
    <row r="23" spans="1:23">
      <c r="A23" s="222"/>
      <c r="B23" s="191"/>
      <c r="C23" s="191"/>
      <c r="D23" s="191"/>
      <c r="E23" s="191"/>
      <c r="F23" s="191"/>
      <c r="G23" s="191"/>
    </row>
    <row r="24" spans="1:23">
      <c r="A24" s="222" t="s">
        <v>485</v>
      </c>
      <c r="B24" s="191"/>
      <c r="C24" s="220">
        <f>'$_MOV_MATERIALS'!S20</f>
        <v>1142</v>
      </c>
      <c r="D24" s="191"/>
      <c r="E24" s="191">
        <f>(7600/2+5500/2+6600*2+6600/2+5500/2+5700/2)*10^-3</f>
        <v>28.650000000000002</v>
      </c>
      <c r="F24" s="191"/>
      <c r="G24" s="191">
        <f>(2*(E24/$R$14 + $J$14/$R$17 +$R$9)*C24*$R$11)/$R$10</f>
        <v>0.16913153751228391</v>
      </c>
    </row>
    <row r="25" spans="1:23">
      <c r="A25" s="222"/>
      <c r="B25" s="191"/>
      <c r="C25" s="191"/>
      <c r="D25" s="191"/>
      <c r="E25" s="191"/>
      <c r="F25" s="191"/>
      <c r="G25" s="191"/>
      <c r="H25" s="204"/>
    </row>
    <row r="26" spans="1:23">
      <c r="A26" s="222" t="s">
        <v>486</v>
      </c>
      <c r="B26" s="191"/>
      <c r="C26" s="220">
        <f>'$_MOV_MATERIALS'!Q18</f>
        <v>1142</v>
      </c>
      <c r="D26" s="191"/>
      <c r="E26" s="191">
        <f>(5700+6400+4300+5100+6600+3300+6600*3+1000)*0.001</f>
        <v>52.2</v>
      </c>
      <c r="F26" s="191"/>
      <c r="G26" s="191">
        <f>(2*(E26/$R$14 + $J$14/$R$17 +$R$9)*C26*$R$11)/$R$10</f>
        <v>0.19086414357288997</v>
      </c>
      <c r="H26" t="s">
        <v>487</v>
      </c>
    </row>
    <row r="27" spans="1:23">
      <c r="A27" s="222"/>
      <c r="B27" s="191"/>
      <c r="C27" s="191"/>
      <c r="D27" s="191"/>
      <c r="E27" s="191"/>
      <c r="F27" s="191"/>
      <c r="G27" s="191"/>
      <c r="H27" s="196"/>
    </row>
    <row r="28" spans="1:23">
      <c r="A28" s="222" t="s">
        <v>488</v>
      </c>
      <c r="B28" s="191"/>
      <c r="C28" s="220">
        <f>'$_MOV_MATERIALS'!M14</f>
        <v>1116</v>
      </c>
      <c r="D28" s="191"/>
      <c r="E28" s="191">
        <f>(11500/2+4300+24000/2+5700/2)*10^-3</f>
        <v>24.900000000000002</v>
      </c>
      <c r="F28" s="191"/>
      <c r="G28" s="191">
        <f>(2*(E28/$R$14 + $J$14/$R$17 +$R$9)*C28*$R$11)/$R$10</f>
        <v>0.16189908887922286</v>
      </c>
      <c r="H28" s="196"/>
    </row>
    <row r="29" spans="1:23">
      <c r="A29" s="222"/>
      <c r="B29" s="191"/>
      <c r="C29" s="191"/>
      <c r="D29" s="191"/>
      <c r="E29" s="191"/>
      <c r="F29" s="191"/>
      <c r="G29" s="191"/>
      <c r="H29" s="196"/>
    </row>
    <row r="30" spans="1:23">
      <c r="A30" s="222" t="s">
        <v>489</v>
      </c>
      <c r="B30" s="208"/>
      <c r="C30" s="227">
        <v>2461</v>
      </c>
      <c r="D30" s="208"/>
      <c r="E30" s="208">
        <f>(16380/2 +4000*2+8190/2 + 5500+7690+5600+1500)*0.001</f>
        <v>40.575000000000003</v>
      </c>
      <c r="F30" s="208"/>
      <c r="G30" s="191">
        <f>(2*(E30/$R$14 + $J$14/$R$17 +$R$9)*C30*$R$11)/$R$10</f>
        <v>0.38819207323635074</v>
      </c>
      <c r="H30" s="196"/>
    </row>
    <row r="31" spans="1:23">
      <c r="A31" s="222"/>
      <c r="B31" s="211"/>
      <c r="C31" s="211"/>
      <c r="D31" s="211"/>
      <c r="E31" s="211"/>
      <c r="F31" s="211"/>
      <c r="G31" s="191"/>
      <c r="H31" s="196"/>
    </row>
    <row r="32" spans="1:23">
      <c r="A32" s="222" t="s">
        <v>490</v>
      </c>
      <c r="B32" s="211"/>
      <c r="C32" s="229">
        <v>2461</v>
      </c>
      <c r="D32" s="211"/>
      <c r="E32" s="211">
        <f>(16380/2+4300/2+8190/2+10320+(8.5*15000)+4500/2+21500/2)*10^-3</f>
        <v>165.255</v>
      </c>
      <c r="F32" s="211"/>
      <c r="G32" s="191">
        <f>(2*(E32/$R$14 + $J$14/$R$17 +$R$9)*C32*$R$11)/$R$10</f>
        <v>0.63614155202422951</v>
      </c>
      <c r="H32" s="196"/>
    </row>
    <row r="33" spans="1:8">
      <c r="A33" s="222"/>
      <c r="B33" s="211"/>
      <c r="C33" s="211"/>
      <c r="D33" s="211"/>
      <c r="E33" s="211"/>
      <c r="F33" s="211"/>
      <c r="G33" s="191"/>
      <c r="H33" s="196"/>
    </row>
    <row r="34" spans="1:8">
      <c r="A34" s="226" t="s">
        <v>491</v>
      </c>
      <c r="B34" s="211"/>
      <c r="C34" s="229">
        <v>4510</v>
      </c>
      <c r="D34" s="211"/>
      <c r="E34" s="211">
        <f>(5440+21500/2+20560+5440+20560+20560/2+6500/2+(61700-15000/2))*0.001</f>
        <v>130.47999999999999</v>
      </c>
      <c r="F34" s="211"/>
      <c r="G34" s="191">
        <f>(2*(E34/$R$14 + $J$14/$R$17 +$R$9)*C34*$R$11)/$R$10</f>
        <v>1.0390500598972177</v>
      </c>
      <c r="H34" s="196" t="s">
        <v>492</v>
      </c>
    </row>
    <row r="35" spans="1:8">
      <c r="A35" s="228"/>
      <c r="B35" s="211"/>
      <c r="C35" s="211"/>
      <c r="D35" s="211"/>
      <c r="E35" s="211"/>
      <c r="F35" s="211"/>
      <c r="G35" s="191"/>
      <c r="H35" s="196"/>
    </row>
    <row r="36" spans="1:8" ht="12" customHeight="1">
      <c r="A36" s="223"/>
      <c r="B36" s="196"/>
      <c r="C36" s="196"/>
      <c r="D36" s="224"/>
      <c r="E36" s="196"/>
      <c r="F36" s="289" t="s">
        <v>493</v>
      </c>
      <c r="G36" s="196">
        <f>SUM(G18:G35)</f>
        <v>3.4713788532727587</v>
      </c>
      <c r="H36" s="196"/>
    </row>
    <row r="37" spans="1:8">
      <c r="A37" s="223"/>
      <c r="B37" s="196"/>
      <c r="C37" s="196"/>
      <c r="D37" s="196"/>
      <c r="E37" s="196"/>
      <c r="F37" s="196"/>
      <c r="G37" s="196">
        <v>4</v>
      </c>
      <c r="H37" s="196"/>
    </row>
    <row r="38" spans="1:8">
      <c r="B38" s="196"/>
      <c r="C38" s="196"/>
      <c r="D38" s="224"/>
      <c r="E38" s="196"/>
      <c r="F38" s="196"/>
      <c r="G38" s="196"/>
      <c r="H38" s="196"/>
    </row>
    <row r="39" spans="1:8">
      <c r="B39" s="196"/>
      <c r="C39" s="196"/>
      <c r="D39" s="196"/>
      <c r="F39" s="196"/>
      <c r="G39" s="196"/>
      <c r="H39" s="196"/>
    </row>
    <row r="40" spans="1:8">
      <c r="B40" s="196"/>
      <c r="C40" s="196"/>
      <c r="D40" s="224"/>
      <c r="E40" s="196"/>
      <c r="F40" s="196"/>
      <c r="G40" s="196"/>
      <c r="H40" s="196"/>
    </row>
    <row r="41" spans="1:8">
      <c r="A41" s="290" t="s">
        <v>476</v>
      </c>
      <c r="B41" s="290"/>
      <c r="C41" s="290" t="s">
        <v>477</v>
      </c>
      <c r="D41" s="290"/>
      <c r="E41" s="290" t="s">
        <v>390</v>
      </c>
      <c r="F41" s="290"/>
      <c r="G41" s="290" t="s">
        <v>478</v>
      </c>
      <c r="H41" s="196"/>
    </row>
    <row r="42" spans="1:8">
      <c r="A42" s="225" t="s">
        <v>494</v>
      </c>
      <c r="B42" s="225"/>
      <c r="C42" s="2">
        <f>'$_MOV_MATERIALS'!C22</f>
        <v>507</v>
      </c>
      <c r="D42" s="225"/>
      <c r="E42" s="196">
        <f>(26000/2+5500/2+3/4*(31700)+6000+24360+6000+2450+6000+81500/2+5500/2)*10^-3</f>
        <v>127.83500000000001</v>
      </c>
      <c r="F42" s="225"/>
      <c r="G42" s="225">
        <f>(2*(E42/$R$14 + $J$14/$R$17 +$R$9)*C42*$R$11)/$R$10</f>
        <v>0.11572308773863033</v>
      </c>
      <c r="H42" s="196"/>
    </row>
    <row r="43" spans="1:8">
      <c r="A43" s="225" t="s">
        <v>495</v>
      </c>
      <c r="B43" s="225"/>
      <c r="C43" s="291">
        <f>'$_MOV_MATERIALS'!C10</f>
        <v>2049</v>
      </c>
      <c r="D43" s="225"/>
      <c r="E43" s="225">
        <f>(4730+10000+3000+8100/2+6000+2450+6000+24360+6000+31700*(3/4))*0.001</f>
        <v>90.364999999999995</v>
      </c>
      <c r="F43" s="225"/>
      <c r="G43" s="225">
        <f>(2*(E43/$R$14 + $J$14/$R$17 +$R$9)*C43*$R$11)/$R$10</f>
        <v>0.40564437858005892</v>
      </c>
    </row>
    <row r="44" spans="1:8">
      <c r="A44" s="225" t="s">
        <v>496</v>
      </c>
      <c r="B44" s="225"/>
      <c r="C44" s="291">
        <f>'$_MOV_MATERIALS'!C14</f>
        <v>1345</v>
      </c>
      <c r="D44" s="225"/>
      <c r="E44" s="292">
        <f>(26000/2+4730/2+3/4*(31700)+6000+24360+6000+2450/2+4730/2)*10^-3</f>
        <v>79.09</v>
      </c>
      <c r="F44" s="225"/>
      <c r="G44" s="225">
        <f>(2*(E44/$R$14 + $J$14/$R$17 +$R$9)*C44*$R$11)/$R$10</f>
        <v>0.25401773183187537</v>
      </c>
    </row>
    <row r="45" spans="1:8">
      <c r="A45" s="225" t="s">
        <v>497</v>
      </c>
      <c r="B45" s="225"/>
      <c r="C45" s="291">
        <f>'$_MOV_MATERIALS'!G8</f>
        <v>4510</v>
      </c>
      <c r="D45" s="225"/>
      <c r="E45" s="225">
        <f>(6500+61700*(3/4)+5700)*0.001</f>
        <v>58.475000000000001</v>
      </c>
      <c r="F45" s="225"/>
      <c r="G45" s="225">
        <f>(2*(E45/$R$14 + $J$14/$R$17 +$R$9)*C45*$R$11)/$R$10</f>
        <v>0.77663183767499566</v>
      </c>
      <c r="H45" t="s">
        <v>492</v>
      </c>
    </row>
    <row r="46" spans="1:8">
      <c r="F46" t="s">
        <v>498</v>
      </c>
      <c r="G46">
        <f>SUM(G42:G45)</f>
        <v>1.5520170358255603</v>
      </c>
    </row>
    <row r="47" spans="1:8">
      <c r="G47">
        <v>2</v>
      </c>
    </row>
    <row r="48" spans="1:8">
      <c r="E48" s="293" t="s">
        <v>499</v>
      </c>
      <c r="G48">
        <f>G47+G37</f>
        <v>6</v>
      </c>
    </row>
    <row r="51" spans="1:3">
      <c r="A51" s="294" t="s">
        <v>500</v>
      </c>
      <c r="B51" s="294" t="s">
        <v>362</v>
      </c>
      <c r="C51" s="294" t="s">
        <v>501</v>
      </c>
    </row>
    <row r="52" spans="1:3">
      <c r="A52" s="225"/>
      <c r="B52" s="225">
        <f>G48</f>
        <v>6</v>
      </c>
      <c r="C52" s="225">
        <f>3</f>
        <v>3</v>
      </c>
    </row>
    <row r="53" spans="1:3">
      <c r="B53" s="293" t="s">
        <v>195</v>
      </c>
      <c r="C53">
        <f>B52+C52</f>
        <v>9</v>
      </c>
    </row>
  </sheetData>
  <phoneticPr fontId="25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97A34-6254-4E5A-B340-52AFFE2E7CDA}">
  <dimension ref="A1:O47"/>
  <sheetViews>
    <sheetView topLeftCell="A23" zoomScale="79" workbookViewId="0">
      <selection activeCell="C51" sqref="C51"/>
    </sheetView>
  </sheetViews>
  <sheetFormatPr defaultColWidth="8.796875" defaultRowHeight="14.25"/>
  <cols>
    <col min="1" max="1" width="18.6640625" customWidth="1"/>
    <col min="2" max="2" width="25.796875" customWidth="1"/>
    <col min="3" max="3" width="23.6640625" customWidth="1"/>
    <col min="4" max="4" width="26.796875" customWidth="1"/>
    <col min="5" max="5" width="28" customWidth="1"/>
    <col min="6" max="6" width="21.46484375" customWidth="1"/>
    <col min="7" max="7" width="22.46484375" customWidth="1"/>
    <col min="8" max="8" width="18.796875" customWidth="1"/>
    <col min="9" max="9" width="23.46484375" customWidth="1"/>
    <col min="11" max="11" width="16.796875" customWidth="1"/>
  </cols>
  <sheetData>
    <row r="1" spans="1:14" ht="15" customHeight="1">
      <c r="A1" s="619" t="s">
        <v>502</v>
      </c>
      <c r="B1" s="619"/>
      <c r="C1" s="619"/>
      <c r="D1" s="619"/>
      <c r="E1" s="619"/>
      <c r="F1" s="619"/>
      <c r="G1" s="619"/>
      <c r="H1" s="619"/>
      <c r="I1" s="619"/>
    </row>
    <row r="2" spans="1:14" ht="15" customHeight="1">
      <c r="A2" s="619"/>
      <c r="B2" s="619"/>
      <c r="C2" s="619"/>
      <c r="D2" s="619"/>
      <c r="E2" s="619"/>
      <c r="F2" s="619"/>
      <c r="G2" s="619"/>
      <c r="H2" s="619"/>
      <c r="I2" s="619"/>
    </row>
    <row r="3" spans="1:14" ht="15" customHeight="1">
      <c r="A3" s="619"/>
      <c r="B3" s="619"/>
      <c r="C3" s="619"/>
      <c r="D3" s="619"/>
      <c r="E3" s="619"/>
      <c r="F3" s="619"/>
      <c r="G3" s="619"/>
      <c r="H3" s="619"/>
      <c r="I3" s="619"/>
    </row>
    <row r="5" spans="1:14">
      <c r="A5" s="280" t="s">
        <v>503</v>
      </c>
      <c r="B5" s="281">
        <v>3</v>
      </c>
      <c r="C5" s="281" t="s">
        <v>225</v>
      </c>
      <c r="E5" s="280" t="s">
        <v>504</v>
      </c>
      <c r="F5" s="281">
        <v>0.1</v>
      </c>
      <c r="G5" s="281" t="s">
        <v>346</v>
      </c>
    </row>
    <row r="6" spans="1:14">
      <c r="A6" s="280" t="s">
        <v>505</v>
      </c>
      <c r="B6" s="286">
        <f>49390/(22*60*7)</f>
        <v>5.3452380952380949</v>
      </c>
      <c r="C6" s="281" t="s">
        <v>506</v>
      </c>
      <c r="E6" s="282"/>
      <c r="F6" s="283"/>
      <c r="G6" s="283"/>
    </row>
    <row r="7" spans="1:14">
      <c r="A7" s="280" t="s">
        <v>507</v>
      </c>
      <c r="B7" s="286">
        <f>B6/B5</f>
        <v>1.7817460317460316</v>
      </c>
      <c r="C7" s="281" t="s">
        <v>508</v>
      </c>
      <c r="E7" s="282" t="s">
        <v>509</v>
      </c>
      <c r="F7" s="283">
        <v>25</v>
      </c>
      <c r="G7" s="283" t="s">
        <v>510</v>
      </c>
    </row>
    <row r="8" spans="1:14">
      <c r="A8" s="196"/>
      <c r="B8" s="196"/>
      <c r="C8" s="196"/>
    </row>
    <row r="9" spans="1:14" ht="15.75">
      <c r="A9" s="620" t="s">
        <v>511</v>
      </c>
      <c r="B9" s="621"/>
      <c r="C9" s="621"/>
      <c r="D9" s="621"/>
      <c r="E9" s="621"/>
      <c r="F9" s="621"/>
      <c r="G9" s="621"/>
      <c r="H9" s="621"/>
      <c r="I9" s="622"/>
      <c r="L9" s="308" t="s">
        <v>512</v>
      </c>
      <c r="M9" s="308" t="s">
        <v>306</v>
      </c>
      <c r="N9" s="308" t="s">
        <v>513</v>
      </c>
    </row>
    <row r="10" spans="1:14">
      <c r="A10" s="280" t="s">
        <v>514</v>
      </c>
      <c r="B10" s="281" t="s">
        <v>515</v>
      </c>
      <c r="C10" s="281" t="s">
        <v>433</v>
      </c>
      <c r="D10" s="281" t="s">
        <v>380</v>
      </c>
      <c r="E10" s="281" t="s">
        <v>393</v>
      </c>
      <c r="F10" s="281" t="s">
        <v>369</v>
      </c>
      <c r="G10" s="281" t="s">
        <v>377</v>
      </c>
      <c r="H10" s="281" t="s">
        <v>387</v>
      </c>
      <c r="I10" s="281" t="s">
        <v>516</v>
      </c>
      <c r="J10" s="287" t="s">
        <v>517</v>
      </c>
      <c r="L10" s="281">
        <v>1</v>
      </c>
      <c r="M10" s="286">
        <f>H17</f>
        <v>0.75</v>
      </c>
      <c r="N10" s="281">
        <v>2</v>
      </c>
    </row>
    <row r="11" spans="1:14">
      <c r="A11" s="280">
        <v>1</v>
      </c>
      <c r="B11" s="281">
        <v>25</v>
      </c>
      <c r="C11" s="281">
        <v>100</v>
      </c>
      <c r="D11" s="281">
        <v>50</v>
      </c>
      <c r="E11" s="281">
        <v>40</v>
      </c>
      <c r="F11" s="281">
        <v>0</v>
      </c>
      <c r="G11" s="281" t="s">
        <v>518</v>
      </c>
      <c r="H11" s="286">
        <f>120/120</f>
        <v>1</v>
      </c>
      <c r="I11" s="281">
        <v>4</v>
      </c>
      <c r="J11" s="287">
        <v>120</v>
      </c>
      <c r="L11" s="281">
        <v>2</v>
      </c>
      <c r="M11" s="286">
        <f>H18</f>
        <v>0.75</v>
      </c>
      <c r="N11" s="281">
        <v>2</v>
      </c>
    </row>
    <row r="12" spans="1:14">
      <c r="A12" s="280">
        <v>2</v>
      </c>
      <c r="B12" s="281">
        <v>25</v>
      </c>
      <c r="C12" s="281">
        <v>100</v>
      </c>
      <c r="D12" s="281">
        <v>50</v>
      </c>
      <c r="E12" s="281">
        <v>40</v>
      </c>
      <c r="F12" s="281">
        <v>0</v>
      </c>
      <c r="G12" s="281" t="s">
        <v>518</v>
      </c>
      <c r="H12" s="286">
        <f>100/120</f>
        <v>0.83333333333333337</v>
      </c>
      <c r="I12" s="281">
        <v>4</v>
      </c>
      <c r="J12" s="287">
        <v>120</v>
      </c>
      <c r="L12" s="281">
        <v>3</v>
      </c>
      <c r="M12" s="286">
        <f>H19</f>
        <v>0.65</v>
      </c>
      <c r="N12" s="281">
        <v>2</v>
      </c>
    </row>
    <row r="13" spans="1:14">
      <c r="A13" s="280">
        <v>3</v>
      </c>
      <c r="B13" s="281">
        <v>25</v>
      </c>
      <c r="C13" s="288">
        <v>100</v>
      </c>
      <c r="D13" s="285">
        <v>50</v>
      </c>
      <c r="E13" s="281">
        <v>40</v>
      </c>
      <c r="F13" s="281">
        <v>0</v>
      </c>
      <c r="G13" s="281" t="s">
        <v>519</v>
      </c>
      <c r="H13" s="286">
        <f>240/120</f>
        <v>2</v>
      </c>
      <c r="I13" s="285">
        <v>4</v>
      </c>
      <c r="J13" s="287">
        <v>120</v>
      </c>
      <c r="L13" s="281"/>
      <c r="M13" s="284"/>
      <c r="N13" s="281"/>
    </row>
    <row r="15" spans="1:14" ht="15.75">
      <c r="A15" s="620" t="s">
        <v>520</v>
      </c>
      <c r="B15" s="621"/>
      <c r="C15" s="621"/>
      <c r="D15" s="621"/>
      <c r="E15" s="621"/>
      <c r="F15" s="621"/>
      <c r="G15" s="622"/>
      <c r="H15" s="196"/>
      <c r="I15" s="196"/>
    </row>
    <row r="16" spans="1:14">
      <c r="A16" s="280" t="s">
        <v>521</v>
      </c>
      <c r="B16" s="281" t="s">
        <v>515</v>
      </c>
      <c r="C16" s="281" t="s">
        <v>522</v>
      </c>
      <c r="D16" s="281" t="s">
        <v>523</v>
      </c>
      <c r="E16" s="281" t="s">
        <v>524</v>
      </c>
      <c r="F16" s="281" t="s">
        <v>525</v>
      </c>
      <c r="G16" s="281" t="s">
        <v>526</v>
      </c>
      <c r="H16" s="281" t="s">
        <v>306</v>
      </c>
      <c r="I16" s="281" t="s">
        <v>527</v>
      </c>
    </row>
    <row r="17" spans="1:9">
      <c r="A17" s="280">
        <v>1</v>
      </c>
      <c r="B17" s="281">
        <v>25</v>
      </c>
      <c r="C17" s="286">
        <f>1-ABS(0.003*(C11-75))</f>
        <v>0.92500000000000004</v>
      </c>
      <c r="D17" s="286">
        <f>0.82+4.5/D11</f>
        <v>0.90999999999999992</v>
      </c>
      <c r="E17" s="286">
        <f>25/E11</f>
        <v>0.625</v>
      </c>
      <c r="F17" s="281">
        <v>1</v>
      </c>
      <c r="G17" s="281">
        <v>0.9</v>
      </c>
      <c r="H17" s="281">
        <v>0.75</v>
      </c>
      <c r="I17" s="284">
        <f>B17*C17*D17*E17*F17*G17*H17</f>
        <v>8.8778320312500014</v>
      </c>
    </row>
    <row r="18" spans="1:9">
      <c r="A18" s="280">
        <v>2</v>
      </c>
      <c r="B18" s="281">
        <v>25</v>
      </c>
      <c r="C18" s="286">
        <f>1-ABS(0.003*(C12-75))</f>
        <v>0.92500000000000004</v>
      </c>
      <c r="D18" s="286">
        <f>0.82+4.5/D12</f>
        <v>0.90999999999999992</v>
      </c>
      <c r="E18" s="286">
        <f>25/E12</f>
        <v>0.625</v>
      </c>
      <c r="F18" s="281">
        <v>1</v>
      </c>
      <c r="G18" s="281">
        <v>0.9</v>
      </c>
      <c r="H18" s="281">
        <v>0.75</v>
      </c>
      <c r="I18" s="284">
        <f>B18*C18*D18*E18*F18*G18*H18</f>
        <v>8.8778320312500014</v>
      </c>
    </row>
    <row r="19" spans="1:9">
      <c r="A19" s="280">
        <v>3</v>
      </c>
      <c r="B19" s="281">
        <v>25</v>
      </c>
      <c r="C19" s="286">
        <f>1-ABS(0.003*(C13-75))</f>
        <v>0.92500000000000004</v>
      </c>
      <c r="D19" s="286">
        <f>0.82+4.5/D13</f>
        <v>0.90999999999999992</v>
      </c>
      <c r="E19" s="286">
        <f>25/E13</f>
        <v>0.625</v>
      </c>
      <c r="F19" s="281">
        <v>1</v>
      </c>
      <c r="G19" s="281">
        <v>0.9</v>
      </c>
      <c r="H19" s="281">
        <v>0.65</v>
      </c>
      <c r="I19" s="284">
        <f>B19*C19*D19*E19*F19*G19*H19</f>
        <v>7.6941210937500006</v>
      </c>
    </row>
    <row r="22" spans="1:9">
      <c r="A22" s="281"/>
      <c r="B22" s="308" t="s">
        <v>528</v>
      </c>
      <c r="C22" s="281"/>
      <c r="D22" s="281"/>
    </row>
    <row r="23" spans="1:9">
      <c r="A23" s="281" t="s">
        <v>512</v>
      </c>
      <c r="B23" s="281" t="s">
        <v>529</v>
      </c>
      <c r="C23" s="284" t="s">
        <v>527</v>
      </c>
      <c r="D23" s="284" t="s">
        <v>528</v>
      </c>
      <c r="E23" s="196"/>
      <c r="F23" s="196"/>
      <c r="G23" s="196"/>
      <c r="H23" s="196"/>
      <c r="I23" s="196"/>
    </row>
    <row r="24" spans="1:9">
      <c r="A24" s="281">
        <v>1</v>
      </c>
      <c r="B24" s="281">
        <v>11.933999999999999</v>
      </c>
      <c r="C24" s="284">
        <f>I17</f>
        <v>8.8778320312500014</v>
      </c>
      <c r="D24" s="309">
        <f>B24/C24</f>
        <v>1.344247104247104</v>
      </c>
      <c r="E24" s="196"/>
      <c r="F24" s="196"/>
      <c r="G24" s="196"/>
      <c r="H24" s="196"/>
      <c r="I24" s="196"/>
    </row>
    <row r="25" spans="1:9">
      <c r="A25" s="281">
        <v>2</v>
      </c>
      <c r="B25" s="281">
        <v>14.04</v>
      </c>
      <c r="C25" s="284">
        <f>I18</f>
        <v>8.8778320312500014</v>
      </c>
      <c r="D25" s="286">
        <f>B25/C25</f>
        <v>1.581467181467181</v>
      </c>
      <c r="E25" s="196"/>
      <c r="F25" s="196"/>
    </row>
    <row r="26" spans="1:9">
      <c r="A26" s="281">
        <v>3</v>
      </c>
      <c r="B26" s="281">
        <v>10.295999999999999</v>
      </c>
      <c r="C26" s="284">
        <f>I19</f>
        <v>7.6941210937500006</v>
      </c>
      <c r="D26" s="309">
        <f>B26/C26</f>
        <v>1.338164538164538</v>
      </c>
      <c r="E26" s="196"/>
      <c r="F26" s="196"/>
    </row>
    <row r="27" spans="1:9">
      <c r="E27" s="196"/>
      <c r="F27" s="196"/>
    </row>
    <row r="28" spans="1:9">
      <c r="A28" s="196"/>
      <c r="B28" s="196"/>
      <c r="C28" s="196"/>
      <c r="D28" s="196"/>
      <c r="E28" s="196"/>
      <c r="F28" s="196"/>
      <c r="G28" s="196"/>
      <c r="H28" s="196"/>
      <c r="I28" s="196"/>
    </row>
    <row r="30" spans="1:9" ht="15.75">
      <c r="A30" s="620" t="s">
        <v>530</v>
      </c>
      <c r="B30" s="621"/>
      <c r="C30" s="621"/>
      <c r="D30" s="621"/>
      <c r="E30" s="621"/>
      <c r="F30" s="621"/>
      <c r="G30" s="621"/>
      <c r="H30" s="196"/>
      <c r="I30" s="196"/>
    </row>
    <row r="31" spans="1:9">
      <c r="A31" s="280" t="s">
        <v>521</v>
      </c>
      <c r="B31" s="281" t="s">
        <v>515</v>
      </c>
      <c r="C31" s="281" t="s">
        <v>522</v>
      </c>
      <c r="D31" s="281" t="s">
        <v>523</v>
      </c>
      <c r="E31" s="281" t="s">
        <v>524</v>
      </c>
      <c r="F31" s="281" t="s">
        <v>525</v>
      </c>
      <c r="G31" s="281" t="s">
        <v>526</v>
      </c>
      <c r="H31" s="281" t="s">
        <v>531</v>
      </c>
      <c r="I31" s="281" t="s">
        <v>527</v>
      </c>
    </row>
    <row r="32" spans="1:9">
      <c r="A32" s="280">
        <v>1</v>
      </c>
      <c r="B32" s="281">
        <v>25</v>
      </c>
      <c r="C32" s="286">
        <f>C17</f>
        <v>0.92500000000000004</v>
      </c>
      <c r="D32" s="286">
        <f>D17</f>
        <v>0.90999999999999992</v>
      </c>
      <c r="E32" s="286">
        <f t="shared" ref="E32:G32" si="0">E17</f>
        <v>0.625</v>
      </c>
      <c r="F32" s="286">
        <f t="shared" si="0"/>
        <v>1</v>
      </c>
      <c r="G32" s="286">
        <f t="shared" si="0"/>
        <v>0.9</v>
      </c>
      <c r="H32" s="286">
        <v>2</v>
      </c>
      <c r="I32" s="286">
        <f>B32*C32*D32*E32*F32*G32*H32</f>
        <v>23.674218750000001</v>
      </c>
    </row>
    <row r="33" spans="1:15">
      <c r="A33" s="280">
        <v>2</v>
      </c>
      <c r="B33" s="281">
        <v>25</v>
      </c>
      <c r="C33" s="286">
        <f t="shared" ref="C33:C34" si="1">C18</f>
        <v>0.92500000000000004</v>
      </c>
      <c r="D33" s="286">
        <f t="shared" ref="D33:D34" si="2">D18</f>
        <v>0.90999999999999992</v>
      </c>
      <c r="E33" s="286">
        <f t="shared" ref="E33" si="3">E18</f>
        <v>0.625</v>
      </c>
      <c r="F33" s="286">
        <f t="shared" ref="F33" si="4">F18</f>
        <v>1</v>
      </c>
      <c r="G33" s="286">
        <f t="shared" ref="G33" si="5">G18</f>
        <v>0.9</v>
      </c>
      <c r="H33" s="286">
        <v>2</v>
      </c>
      <c r="I33" s="286">
        <f>B33*C33*D33*E33*F33*G33*H33</f>
        <v>23.674218750000001</v>
      </c>
    </row>
    <row r="34" spans="1:15">
      <c r="A34" s="280">
        <v>3</v>
      </c>
      <c r="B34" s="281">
        <v>25</v>
      </c>
      <c r="C34" s="286">
        <f t="shared" si="1"/>
        <v>0.92500000000000004</v>
      </c>
      <c r="D34" s="286">
        <f t="shared" si="2"/>
        <v>0.90999999999999992</v>
      </c>
      <c r="E34" s="286">
        <f t="shared" ref="E34" si="6">E19</f>
        <v>0.625</v>
      </c>
      <c r="F34" s="286">
        <f t="shared" ref="F34" si="7">F19</f>
        <v>1</v>
      </c>
      <c r="G34" s="286">
        <f t="shared" ref="G34" si="8">G19</f>
        <v>0.9</v>
      </c>
      <c r="H34" s="286">
        <v>2</v>
      </c>
      <c r="I34" s="286">
        <f>B34*C34*D34*E34*F34*G34*H34</f>
        <v>23.674218750000001</v>
      </c>
    </row>
    <row r="35" spans="1:15">
      <c r="A35" s="196"/>
      <c r="B35" s="196"/>
      <c r="C35" s="196"/>
      <c r="D35" s="196"/>
      <c r="E35" s="196"/>
      <c r="F35" s="196"/>
      <c r="G35" s="196"/>
      <c r="H35" s="196"/>
      <c r="I35" s="196"/>
    </row>
    <row r="36" spans="1:15">
      <c r="A36" s="307" t="s">
        <v>532</v>
      </c>
      <c r="B36" s="281"/>
      <c r="C36" s="281"/>
      <c r="D36" s="281"/>
      <c r="E36" s="196"/>
      <c r="F36" s="307" t="s">
        <v>533</v>
      </c>
      <c r="G36" s="281"/>
      <c r="H36" s="281"/>
      <c r="I36" s="281"/>
      <c r="J36" s="281"/>
      <c r="K36" s="281"/>
      <c r="M36" s="307" t="s">
        <v>534</v>
      </c>
      <c r="N36" s="281"/>
      <c r="O36" s="281"/>
    </row>
    <row r="37" spans="1:15">
      <c r="A37" s="280" t="s">
        <v>514</v>
      </c>
      <c r="B37" s="281" t="s">
        <v>535</v>
      </c>
      <c r="C37" s="281" t="s">
        <v>527</v>
      </c>
      <c r="D37" s="281" t="s">
        <v>536</v>
      </c>
      <c r="E37" s="196"/>
      <c r="F37" s="280" t="s">
        <v>537</v>
      </c>
      <c r="G37" s="281" t="s">
        <v>538</v>
      </c>
      <c r="H37" s="281" t="s">
        <v>539</v>
      </c>
      <c r="I37" s="281" t="s">
        <v>527</v>
      </c>
      <c r="J37" s="281" t="s">
        <v>528</v>
      </c>
      <c r="K37" s="281" t="s">
        <v>532</v>
      </c>
      <c r="M37" s="280" t="s">
        <v>512</v>
      </c>
      <c r="N37" s="281" t="s">
        <v>540</v>
      </c>
      <c r="O37" s="281" t="s">
        <v>541</v>
      </c>
    </row>
    <row r="38" spans="1:15">
      <c r="A38" s="280">
        <v>1</v>
      </c>
      <c r="B38" s="281">
        <f>B24</f>
        <v>11.933999999999999</v>
      </c>
      <c r="C38" s="286">
        <f>I32</f>
        <v>23.674218750000001</v>
      </c>
      <c r="D38" s="281">
        <f>B38/C38</f>
        <v>0.50409266409266407</v>
      </c>
      <c r="E38" s="196"/>
      <c r="F38" s="280">
        <v>1</v>
      </c>
      <c r="G38" s="281">
        <v>2</v>
      </c>
      <c r="H38" s="281">
        <f>B39</f>
        <v>14.04</v>
      </c>
      <c r="I38" s="286">
        <f>C39</f>
        <v>23.674218750000001</v>
      </c>
      <c r="J38" s="286">
        <f>D25</f>
        <v>1.581467181467181</v>
      </c>
      <c r="K38" s="281">
        <f>D39</f>
        <v>0.59305019305019302</v>
      </c>
      <c r="M38" s="280">
        <v>1</v>
      </c>
      <c r="N38" s="281">
        <v>120</v>
      </c>
      <c r="O38" s="281">
        <f>120/360</f>
        <v>0.33333333333333331</v>
      </c>
    </row>
    <row r="39" spans="1:15">
      <c r="A39" s="280">
        <v>2</v>
      </c>
      <c r="B39" s="281">
        <f>B25</f>
        <v>14.04</v>
      </c>
      <c r="C39" s="286">
        <f>I33</f>
        <v>23.674218750000001</v>
      </c>
      <c r="D39" s="281">
        <f>B39/C39</f>
        <v>0.59305019305019302</v>
      </c>
      <c r="E39" s="196"/>
      <c r="F39" s="280">
        <v>2</v>
      </c>
      <c r="G39" s="281">
        <v>1</v>
      </c>
      <c r="H39" s="281">
        <f>B38</f>
        <v>11.933999999999999</v>
      </c>
      <c r="I39" s="286">
        <f>C38</f>
        <v>23.674218750000001</v>
      </c>
      <c r="J39" s="309">
        <f>D24</f>
        <v>1.344247104247104</v>
      </c>
      <c r="K39" s="281">
        <f>D38</f>
        <v>0.50409266409266407</v>
      </c>
      <c r="M39" s="280">
        <v>2</v>
      </c>
      <c r="N39" s="281">
        <v>120</v>
      </c>
      <c r="O39" s="281">
        <f>120/360</f>
        <v>0.33333333333333331</v>
      </c>
    </row>
    <row r="40" spans="1:15">
      <c r="A40" s="280">
        <v>3</v>
      </c>
      <c r="B40" s="281">
        <f>B26</f>
        <v>10.295999999999999</v>
      </c>
      <c r="C40" s="286">
        <f>I34</f>
        <v>23.674218750000001</v>
      </c>
      <c r="D40" s="281">
        <f>B40/C40</f>
        <v>0.43490347490347486</v>
      </c>
      <c r="E40" s="196"/>
      <c r="F40" s="280">
        <v>3</v>
      </c>
      <c r="G40" s="281">
        <v>3</v>
      </c>
      <c r="H40" s="281">
        <f>B40</f>
        <v>10.295999999999999</v>
      </c>
      <c r="I40" s="286">
        <f>C40</f>
        <v>23.674218750000001</v>
      </c>
      <c r="J40" s="309">
        <f>D26</f>
        <v>1.338164538164538</v>
      </c>
      <c r="K40" s="281">
        <f>D40</f>
        <v>0.43490347490347486</v>
      </c>
      <c r="M40" s="280">
        <v>3</v>
      </c>
      <c r="N40" s="281">
        <v>120</v>
      </c>
      <c r="O40" s="281">
        <f>120/360</f>
        <v>0.33333333333333331</v>
      </c>
    </row>
    <row r="41" spans="1:15">
      <c r="A41" s="196"/>
      <c r="B41" s="196"/>
      <c r="C41" s="196"/>
      <c r="D41" s="196"/>
      <c r="E41" s="196"/>
      <c r="F41" s="196"/>
      <c r="G41" s="196"/>
      <c r="H41" s="196"/>
      <c r="I41" s="196"/>
    </row>
    <row r="42" spans="1:15">
      <c r="A42" s="307" t="s">
        <v>542</v>
      </c>
      <c r="B42" s="281"/>
      <c r="C42" s="281"/>
      <c r="D42" s="281"/>
      <c r="E42" s="281"/>
      <c r="F42" s="281"/>
      <c r="G42" s="281"/>
      <c r="H42" s="281"/>
      <c r="I42" s="281"/>
    </row>
    <row r="43" spans="1:15">
      <c r="A43" s="280" t="s">
        <v>537</v>
      </c>
      <c r="B43" s="281" t="s">
        <v>512</v>
      </c>
      <c r="C43" s="281" t="s">
        <v>529</v>
      </c>
      <c r="D43" s="281" t="s">
        <v>527</v>
      </c>
      <c r="E43" s="281" t="s">
        <v>528</v>
      </c>
      <c r="F43" s="281" t="s">
        <v>536</v>
      </c>
      <c r="G43" s="281" t="s">
        <v>543</v>
      </c>
      <c r="H43" s="281" t="s">
        <v>544</v>
      </c>
      <c r="I43" s="281" t="s">
        <v>545</v>
      </c>
    </row>
    <row r="44" spans="1:15">
      <c r="A44" s="280">
        <v>1</v>
      </c>
      <c r="B44" s="281">
        <v>2</v>
      </c>
      <c r="C44" s="281">
        <f>B39</f>
        <v>14.04</v>
      </c>
      <c r="D44" s="286">
        <f>C39</f>
        <v>23.674218750000001</v>
      </c>
      <c r="E44" s="286">
        <f t="shared" ref="E44:F46" si="9">J38</f>
        <v>1.581467181467181</v>
      </c>
      <c r="F44" s="281">
        <f t="shared" si="9"/>
        <v>0.59305019305019302</v>
      </c>
      <c r="G44" s="281">
        <f>O39</f>
        <v>0.33333333333333331</v>
      </c>
      <c r="H44" s="281"/>
      <c r="I44" s="616">
        <f>E44+(F44-E44)*(H45+H46)</f>
        <v>1.0598026598026595</v>
      </c>
    </row>
    <row r="45" spans="1:15">
      <c r="A45" s="280">
        <v>2</v>
      </c>
      <c r="B45" s="281">
        <v>1</v>
      </c>
      <c r="C45" s="281">
        <f>B38</f>
        <v>11.933999999999999</v>
      </c>
      <c r="D45" s="286">
        <f>C38</f>
        <v>23.674218750000001</v>
      </c>
      <c r="E45" s="309">
        <f t="shared" si="9"/>
        <v>1.344247104247104</v>
      </c>
      <c r="F45" s="281">
        <f t="shared" si="9"/>
        <v>0.50409266409266407</v>
      </c>
      <c r="G45" s="281">
        <f>O38</f>
        <v>0.33333333333333331</v>
      </c>
      <c r="H45" s="281">
        <f>(F45*G45)/F44</f>
        <v>0.28333333333333333</v>
      </c>
      <c r="I45" s="617"/>
    </row>
    <row r="46" spans="1:15">
      <c r="A46" s="280">
        <v>3</v>
      </c>
      <c r="B46" s="281">
        <v>3</v>
      </c>
      <c r="C46" s="281">
        <f>B40</f>
        <v>10.295999999999999</v>
      </c>
      <c r="D46" s="286">
        <f>C40</f>
        <v>23.674218750000001</v>
      </c>
      <c r="E46" s="309">
        <f t="shared" si="9"/>
        <v>1.338164538164538</v>
      </c>
      <c r="F46" s="281">
        <f t="shared" si="9"/>
        <v>0.43490347490347486</v>
      </c>
      <c r="G46" s="281">
        <f>O40</f>
        <v>0.33333333333333331</v>
      </c>
      <c r="H46" s="281">
        <f>(F46*G46)/F44</f>
        <v>0.24444444444444444</v>
      </c>
      <c r="I46" s="618"/>
    </row>
    <row r="47" spans="1:15">
      <c r="A47" s="196"/>
      <c r="B47" s="196"/>
      <c r="C47" s="196"/>
      <c r="D47" s="196"/>
      <c r="E47" s="196"/>
      <c r="F47" s="196"/>
      <c r="G47" s="196"/>
      <c r="H47" s="196"/>
      <c r="I47" s="196"/>
    </row>
  </sheetData>
  <mergeCells count="5">
    <mergeCell ref="I44:I46"/>
    <mergeCell ref="A1:I3"/>
    <mergeCell ref="A9:I9"/>
    <mergeCell ref="A15:G15"/>
    <mergeCell ref="A30:G3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CEF0C-1E58-41AA-B08D-CE4A7A685D05}">
  <dimension ref="A1:L29"/>
  <sheetViews>
    <sheetView tabSelected="1" zoomScale="91" zoomScaleNormal="115" workbookViewId="0">
      <selection activeCell="K4" sqref="K4"/>
    </sheetView>
  </sheetViews>
  <sheetFormatPr defaultColWidth="8.796875" defaultRowHeight="14.25"/>
  <cols>
    <col min="1" max="1" width="33.46484375" bestFit="1" customWidth="1"/>
    <col min="3" max="3" width="18.33203125" customWidth="1"/>
    <col min="8" max="8" width="32.1328125" bestFit="1" customWidth="1"/>
    <col min="9" max="9" width="36.1328125" customWidth="1"/>
    <col min="10" max="10" width="18.1328125" customWidth="1"/>
  </cols>
  <sheetData>
    <row r="1" spans="1:12">
      <c r="A1" s="136" t="s">
        <v>546</v>
      </c>
      <c r="B1" s="141" t="s">
        <v>340</v>
      </c>
      <c r="C1" s="139" t="s">
        <v>547</v>
      </c>
      <c r="D1" s="129" t="s">
        <v>340</v>
      </c>
      <c r="E1" s="129" t="s">
        <v>548</v>
      </c>
      <c r="F1" s="129" t="s">
        <v>549</v>
      </c>
      <c r="G1" s="310" t="s">
        <v>550</v>
      </c>
      <c r="I1" s="131" t="s">
        <v>551</v>
      </c>
      <c r="J1" s="129" t="s">
        <v>552</v>
      </c>
      <c r="K1" s="129" t="s">
        <v>340</v>
      </c>
      <c r="L1" s="130"/>
    </row>
    <row r="2" spans="1:12">
      <c r="A2" s="299" t="s">
        <v>553</v>
      </c>
      <c r="B2" s="10">
        <v>200</v>
      </c>
      <c r="C2" s="133" t="s">
        <v>554</v>
      </c>
      <c r="D2" s="10">
        <v>200</v>
      </c>
      <c r="E2" s="303">
        <v>16</v>
      </c>
      <c r="F2" s="303">
        <v>12.5</v>
      </c>
      <c r="G2" s="132">
        <v>1</v>
      </c>
      <c r="I2" s="300" t="s">
        <v>555</v>
      </c>
      <c r="J2" s="10">
        <v>4</v>
      </c>
      <c r="K2" s="10">
        <f>J2*B8*2</f>
        <v>40</v>
      </c>
      <c r="L2" s="132">
        <v>1</v>
      </c>
    </row>
    <row r="3" spans="1:12">
      <c r="A3" s="299" t="s">
        <v>556</v>
      </c>
      <c r="B3" s="10">
        <v>80</v>
      </c>
      <c r="C3" s="133" t="s">
        <v>554</v>
      </c>
      <c r="D3" s="10">
        <v>80</v>
      </c>
      <c r="E3" s="306">
        <f>SQRT(D3)</f>
        <v>8.9442719099991592</v>
      </c>
      <c r="F3" s="306">
        <f>SQRT(D3)</f>
        <v>8.9442719099991592</v>
      </c>
      <c r="G3" s="132">
        <v>1</v>
      </c>
      <c r="I3" s="300" t="s">
        <v>557</v>
      </c>
      <c r="J3" s="10">
        <v>6</v>
      </c>
      <c r="K3" s="10">
        <f>D8-K2</f>
        <v>280</v>
      </c>
      <c r="L3" s="125">
        <v>1</v>
      </c>
    </row>
    <row r="4" spans="1:12">
      <c r="A4" s="299" t="s">
        <v>558</v>
      </c>
      <c r="B4" s="10">
        <v>50</v>
      </c>
      <c r="C4" s="133" t="s">
        <v>554</v>
      </c>
      <c r="D4" s="10">
        <v>50</v>
      </c>
      <c r="E4" s="303">
        <v>10</v>
      </c>
      <c r="F4" s="303">
        <v>5</v>
      </c>
      <c r="G4" s="132">
        <v>1</v>
      </c>
      <c r="I4" s="124"/>
      <c r="J4" s="14"/>
      <c r="K4" s="14"/>
      <c r="L4" s="125"/>
    </row>
    <row r="5" spans="1:12">
      <c r="A5" s="299" t="s">
        <v>559</v>
      </c>
      <c r="B5" s="10">
        <v>20</v>
      </c>
      <c r="C5" s="133" t="s">
        <v>554</v>
      </c>
      <c r="D5" s="10">
        <v>20</v>
      </c>
      <c r="E5" s="303">
        <v>5</v>
      </c>
      <c r="F5" s="303">
        <v>4</v>
      </c>
      <c r="G5" s="132">
        <v>1</v>
      </c>
      <c r="I5" s="124"/>
      <c r="J5" s="14"/>
      <c r="K5" s="14"/>
      <c r="L5" s="125"/>
    </row>
    <row r="6" spans="1:12">
      <c r="A6" s="299" t="s">
        <v>560</v>
      </c>
      <c r="B6" s="10">
        <v>80</v>
      </c>
      <c r="C6" s="133" t="s">
        <v>554</v>
      </c>
      <c r="D6" s="10">
        <v>80</v>
      </c>
      <c r="E6" s="303">
        <v>10</v>
      </c>
      <c r="F6" s="303">
        <v>8</v>
      </c>
      <c r="G6" s="132">
        <v>1</v>
      </c>
      <c r="I6" s="143" t="s">
        <v>561</v>
      </c>
      <c r="J6" s="14"/>
      <c r="K6" s="14"/>
      <c r="L6" s="125"/>
    </row>
    <row r="7" spans="1:12">
      <c r="A7" s="301" t="s">
        <v>562</v>
      </c>
      <c r="B7" s="163">
        <v>20</v>
      </c>
      <c r="C7" s="133" t="s">
        <v>554</v>
      </c>
      <c r="D7" s="163">
        <v>20</v>
      </c>
      <c r="E7" s="304">
        <v>5</v>
      </c>
      <c r="F7" s="304">
        <v>4</v>
      </c>
      <c r="G7" s="132">
        <v>1</v>
      </c>
      <c r="I7" s="142" t="s">
        <v>563</v>
      </c>
      <c r="J7" s="10">
        <f>SUM(B17:B21)</f>
        <v>120</v>
      </c>
      <c r="K7" s="10">
        <f>J7*B10</f>
        <v>30</v>
      </c>
      <c r="L7" s="132"/>
    </row>
    <row r="8" spans="1:12">
      <c r="A8" s="299" t="s">
        <v>564</v>
      </c>
      <c r="B8" s="10">
        <v>5</v>
      </c>
      <c r="C8" s="133" t="s">
        <v>565</v>
      </c>
      <c r="D8" s="10">
        <f>B8*B27+B8*B22</f>
        <v>320</v>
      </c>
      <c r="E8" s="14">
        <v>28</v>
      </c>
      <c r="F8" s="14">
        <v>10</v>
      </c>
      <c r="G8" s="132">
        <v>1</v>
      </c>
      <c r="I8" s="142" t="s">
        <v>566</v>
      </c>
      <c r="J8" s="10">
        <f>B29-J7</f>
        <v>45</v>
      </c>
      <c r="K8" s="10">
        <f>J8*B10</f>
        <v>11.25</v>
      </c>
      <c r="L8" s="132"/>
    </row>
    <row r="9" spans="1:12">
      <c r="A9" s="299" t="s">
        <v>567</v>
      </c>
      <c r="B9" s="10">
        <v>1.6</v>
      </c>
      <c r="C9" s="133" t="s">
        <v>565</v>
      </c>
      <c r="D9" s="10">
        <f>B9*B29</f>
        <v>264</v>
      </c>
      <c r="E9" s="14">
        <v>27</v>
      </c>
      <c r="F9" s="14">
        <v>10</v>
      </c>
      <c r="G9" s="132">
        <v>1</v>
      </c>
      <c r="I9" s="124"/>
      <c r="J9" s="14"/>
      <c r="K9" s="14"/>
      <c r="L9" s="125"/>
    </row>
    <row r="10" spans="1:12">
      <c r="A10" s="299" t="s">
        <v>568</v>
      </c>
      <c r="B10" s="10">
        <v>0.25</v>
      </c>
      <c r="C10" s="133" t="s">
        <v>565</v>
      </c>
      <c r="D10" s="10">
        <f>B10*B29</f>
        <v>41.25</v>
      </c>
      <c r="E10" s="14">
        <v>4</v>
      </c>
      <c r="F10" s="14">
        <v>2</v>
      </c>
      <c r="G10" s="132">
        <v>5</v>
      </c>
      <c r="H10" t="s">
        <v>569</v>
      </c>
      <c r="I10" s="124"/>
      <c r="J10" s="14"/>
      <c r="K10" s="14"/>
      <c r="L10" s="125"/>
    </row>
    <row r="11" spans="1:12">
      <c r="A11" s="299" t="s">
        <v>570</v>
      </c>
      <c r="B11" s="10">
        <v>1.5</v>
      </c>
      <c r="C11" s="133" t="s">
        <v>565</v>
      </c>
      <c r="D11" s="10">
        <f>B11*B29</f>
        <v>247.5</v>
      </c>
      <c r="E11" s="14">
        <v>16</v>
      </c>
      <c r="F11" s="14">
        <v>16</v>
      </c>
      <c r="G11" s="132">
        <v>1</v>
      </c>
      <c r="I11" s="144" t="s">
        <v>571</v>
      </c>
      <c r="J11" s="134">
        <f>D9+K8+K7</f>
        <v>305.25</v>
      </c>
      <c r="K11" s="126"/>
      <c r="L11" s="127"/>
    </row>
    <row r="12" spans="1:12">
      <c r="A12" s="302" t="s">
        <v>572</v>
      </c>
      <c r="B12" s="134">
        <f>5.06*5</f>
        <v>25.299999999999997</v>
      </c>
      <c r="C12" s="140" t="s">
        <v>573</v>
      </c>
      <c r="D12" s="134">
        <f>B12*2</f>
        <v>50.599999999999994</v>
      </c>
      <c r="E12" s="305">
        <v>8</v>
      </c>
      <c r="F12" s="305">
        <v>7</v>
      </c>
      <c r="G12" s="135">
        <v>2</v>
      </c>
    </row>
    <row r="14" spans="1:12" ht="14.65" thickBot="1"/>
    <row r="15" spans="1:12">
      <c r="A15" s="623" t="s">
        <v>574</v>
      </c>
      <c r="B15" s="624"/>
    </row>
    <row r="16" spans="1:12">
      <c r="A16" s="159" t="s">
        <v>575</v>
      </c>
      <c r="B16" s="160">
        <v>9</v>
      </c>
    </row>
    <row r="17" spans="1:2">
      <c r="A17" s="153" t="s">
        <v>576</v>
      </c>
      <c r="B17" s="154">
        <v>8</v>
      </c>
    </row>
    <row r="18" spans="1:2">
      <c r="A18" s="157" t="s">
        <v>577</v>
      </c>
      <c r="B18" s="161">
        <v>6</v>
      </c>
    </row>
    <row r="19" spans="1:2">
      <c r="A19" s="158" t="s">
        <v>578</v>
      </c>
      <c r="B19" s="162">
        <v>5</v>
      </c>
    </row>
    <row r="20" spans="1:2" ht="14.65" thickTop="1">
      <c r="A20" s="155" t="s">
        <v>579</v>
      </c>
      <c r="B20" s="156">
        <v>13</v>
      </c>
    </row>
    <row r="21" spans="1:2" ht="14.65" thickBot="1">
      <c r="A21" s="153" t="s">
        <v>580</v>
      </c>
      <c r="B21" s="154">
        <f>22*4</f>
        <v>88</v>
      </c>
    </row>
    <row r="22" spans="1:2" ht="14.65" thickTop="1">
      <c r="A22" s="297" t="s">
        <v>581</v>
      </c>
      <c r="B22" s="161">
        <v>8</v>
      </c>
    </row>
    <row r="23" spans="1:2">
      <c r="A23" s="298" t="s">
        <v>582</v>
      </c>
      <c r="B23" s="295">
        <f>B22*2</f>
        <v>16</v>
      </c>
    </row>
    <row r="24" spans="1:2">
      <c r="A24" s="296" t="s">
        <v>583</v>
      </c>
      <c r="B24" s="156">
        <f>SUM(B16:B22)</f>
        <v>137</v>
      </c>
    </row>
    <row r="25" spans="1:2">
      <c r="A25" s="137" t="s">
        <v>584</v>
      </c>
      <c r="B25" s="138">
        <f>B24*2</f>
        <v>274</v>
      </c>
    </row>
    <row r="26" spans="1:2">
      <c r="A26" s="137" t="s">
        <v>585</v>
      </c>
      <c r="B26" s="138">
        <f>ROUNDUP(B24*0.2,0)</f>
        <v>28</v>
      </c>
    </row>
    <row r="27" spans="1:2" ht="14.65" thickBot="1">
      <c r="A27" s="164" t="s">
        <v>586</v>
      </c>
      <c r="B27" s="154">
        <f>B26*2</f>
        <v>56</v>
      </c>
    </row>
    <row r="28" spans="1:2">
      <c r="A28" s="165" t="s">
        <v>587</v>
      </c>
      <c r="B28" s="166">
        <f>B25+B27</f>
        <v>330</v>
      </c>
    </row>
    <row r="29" spans="1:2">
      <c r="A29" s="165" t="s">
        <v>588</v>
      </c>
      <c r="B29" s="166">
        <f>B28/2</f>
        <v>165</v>
      </c>
    </row>
  </sheetData>
  <mergeCells count="1">
    <mergeCell ref="A15:B15"/>
  </mergeCells>
  <phoneticPr fontId="2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09FC75ED21A14F9EE9880B33014247" ma:contentTypeVersion="6" ma:contentTypeDescription="Create a new document." ma:contentTypeScope="" ma:versionID="e749ac1d75fab49f50bd4429d8986df9">
  <xsd:schema xmlns:xsd="http://www.w3.org/2001/XMLSchema" xmlns:xs="http://www.w3.org/2001/XMLSchema" xmlns:p="http://schemas.microsoft.com/office/2006/metadata/properties" xmlns:ns3="ad65a259-189b-44dc-9205-ed86de2a955e" targetNamespace="http://schemas.microsoft.com/office/2006/metadata/properties" ma:root="true" ma:fieldsID="56c11e2827fa0487078673304dfa6f7e" ns3:_="">
    <xsd:import namespace="ad65a259-189b-44dc-9205-ed86de2a955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65a259-189b-44dc-9205-ed86de2a955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d65a259-189b-44dc-9205-ed86de2a955e" xsi:nil="true"/>
  </documentManagement>
</p:properties>
</file>

<file path=customXml/itemProps1.xml><?xml version="1.0" encoding="utf-8"?>
<ds:datastoreItem xmlns:ds="http://schemas.openxmlformats.org/officeDocument/2006/customXml" ds:itemID="{FEDDCE6A-518F-4E7B-A6FC-57D783A5527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015AAFF-88D8-4FC6-8796-5D890B7998C2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89226628-C643-4819-A66B-1FDC8F70B4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65a259-189b-44dc-9205-ed86de2a95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DE5397A-EF43-445A-95B1-9920A2E7388F}">
  <ds:schemaRefs>
    <ds:schemaRef ds:uri="http://www.w3.org/XML/1998/namespace"/>
    <ds:schemaRef ds:uri="http://purl.org/dc/dcmitype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ad65a259-189b-44dc-9205-ed86de2a955e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2a05ac92-2049-4a26-9b34-897763efc8e2}" enabled="0" method="" siteId="{2a05ac92-2049-4a26-9b34-897763efc8e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$_DATA</vt:lpstr>
      <vt:lpstr>$_BOM_CYCLE</vt:lpstr>
      <vt:lpstr>$_MANUF_PARTS_BATCH</vt:lpstr>
      <vt:lpstr>$_MOV_MATERIALS</vt:lpstr>
      <vt:lpstr>$_WARE_BUFFER</vt:lpstr>
      <vt:lpstr>ABC ANALYSIS</vt:lpstr>
      <vt:lpstr>WARE_BUFFER_EPEI</vt:lpstr>
      <vt:lpstr>Recieving</vt:lpstr>
      <vt:lpstr>Shipping</vt:lpstr>
      <vt:lpstr>OP_ASSEMBLING</vt:lpstr>
      <vt:lpstr>AREA CALCULATION</vt:lpstr>
      <vt:lpstr>FORKLIFT</vt:lpstr>
      <vt:lpstr>WORKERS_SAFETY</vt:lpstr>
      <vt:lpstr>SERVICE AREA &amp; # OF EMPLOYEES</vt:lpstr>
    </vt:vector>
  </TitlesOfParts>
  <Manager/>
  <Company>Comau S.p.A.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Pier Franco Luciani</dc:creator>
  <cp:keywords/>
  <dc:description/>
  <cp:lastModifiedBy>Zouhour  Fatima</cp:lastModifiedBy>
  <cp:revision/>
  <dcterms:created xsi:type="dcterms:W3CDTF">2022-10-07T13:38:05Z</dcterms:created>
  <dcterms:modified xsi:type="dcterms:W3CDTF">2026-10-28T20:28:55Z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0x010100B409FC75ED21A14F9EE9880B33014247</vt:lpwstr>
  </property>
</Properties>
</file>